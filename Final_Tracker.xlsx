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(ISM)intern-Prakash\Bhavin\"/>
    </mc:Choice>
  </mc:AlternateContent>
  <xr:revisionPtr revIDLastSave="0" documentId="13_ncr:1_{9A4F8F81-0CF8-4379-9019-9A6B5CB639C0}" xr6:coauthVersionLast="47" xr6:coauthVersionMax="47" xr10:uidLastSave="{00000000-0000-0000-0000-000000000000}"/>
  <bookViews>
    <workbookView xWindow="-108" yWindow="-108" windowWidth="23256" windowHeight="12456" xr2:uid="{FBB2CD16-B02D-4965-968D-B73E4463C4B5}"/>
  </bookViews>
  <sheets>
    <sheet name="Visual_Dashbord" sheetId="6" r:id="rId1"/>
    <sheet name="CV1_ROB" sheetId="1" r:id="rId2"/>
    <sheet name="CV2_Infra" sheetId="2" r:id="rId3"/>
    <sheet name="CV3_Pway" sheetId="3" r:id="rId4"/>
    <sheet name="Earthwork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F21" i="6"/>
  <c r="F5" i="3"/>
  <c r="F6" i="3"/>
  <c r="F7" i="3"/>
  <c r="F8" i="3"/>
  <c r="F5" i="4"/>
  <c r="E9" i="6"/>
  <c r="E4" i="6"/>
  <c r="G6" i="3"/>
  <c r="E27" i="6"/>
  <c r="F27" i="6" s="1"/>
  <c r="E22" i="6"/>
  <c r="D7" i="3"/>
  <c r="D23" i="6" s="1"/>
  <c r="D12" i="6"/>
  <c r="D13" i="6"/>
  <c r="D14" i="6"/>
  <c r="D15" i="6"/>
  <c r="D16" i="6"/>
  <c r="D17" i="6"/>
  <c r="D18" i="6"/>
  <c r="D20" i="6"/>
  <c r="D21" i="6"/>
  <c r="D22" i="6"/>
  <c r="D24" i="6"/>
  <c r="D26" i="6"/>
  <c r="D27" i="6"/>
  <c r="D28" i="6"/>
  <c r="E28" i="6"/>
  <c r="F28" i="6" s="1"/>
  <c r="E26" i="6"/>
  <c r="E24" i="6"/>
  <c r="E23" i="6"/>
  <c r="E21" i="6"/>
  <c r="E20" i="6"/>
  <c r="E18" i="6"/>
  <c r="E17" i="6"/>
  <c r="G17" i="6" s="1"/>
  <c r="E16" i="6"/>
  <c r="E15" i="6"/>
  <c r="E14" i="6"/>
  <c r="E13" i="6"/>
  <c r="E12" i="6"/>
  <c r="E8" i="6"/>
  <c r="G36" i="2"/>
  <c r="G34" i="2"/>
  <c r="F34" i="2"/>
  <c r="F36" i="2"/>
  <c r="F37" i="2"/>
  <c r="F38" i="2"/>
  <c r="G6" i="4"/>
  <c r="F6" i="4"/>
  <c r="G5" i="4"/>
  <c r="G4" i="4"/>
  <c r="F4" i="4"/>
  <c r="G5" i="3"/>
  <c r="G8" i="3"/>
  <c r="G4" i="3"/>
  <c r="F4" i="3"/>
  <c r="G16" i="2"/>
  <c r="G17" i="2"/>
  <c r="G18" i="2"/>
  <c r="G19" i="2"/>
  <c r="G20" i="2"/>
  <c r="G22" i="2"/>
  <c r="G23" i="2"/>
  <c r="G24" i="2"/>
  <c r="G25" i="2"/>
  <c r="G26" i="2"/>
  <c r="G28" i="2"/>
  <c r="G29" i="2"/>
  <c r="G30" i="2"/>
  <c r="G31" i="2"/>
  <c r="G32" i="2"/>
  <c r="G35" i="2"/>
  <c r="G37" i="2"/>
  <c r="G38" i="2"/>
  <c r="G40" i="2"/>
  <c r="G41" i="2"/>
  <c r="G42" i="2"/>
  <c r="G43" i="2"/>
  <c r="G44" i="2"/>
  <c r="G10" i="2"/>
  <c r="G11" i="2"/>
  <c r="G12" i="2"/>
  <c r="G13" i="2"/>
  <c r="G14" i="2"/>
  <c r="G5" i="2"/>
  <c r="G6" i="2"/>
  <c r="G7" i="2"/>
  <c r="G8" i="2"/>
  <c r="G4" i="2"/>
  <c r="F10" i="2"/>
  <c r="F11" i="2"/>
  <c r="F12" i="2"/>
  <c r="F13" i="2"/>
  <c r="F14" i="2"/>
  <c r="F16" i="2"/>
  <c r="F17" i="2"/>
  <c r="F18" i="2"/>
  <c r="F19" i="2"/>
  <c r="F20" i="2"/>
  <c r="F22" i="2"/>
  <c r="F23" i="2"/>
  <c r="F24" i="2"/>
  <c r="F25" i="2"/>
  <c r="F26" i="2"/>
  <c r="F28" i="2"/>
  <c r="F29" i="2"/>
  <c r="F30" i="2"/>
  <c r="F31" i="2"/>
  <c r="F32" i="2"/>
  <c r="F35" i="2"/>
  <c r="F40" i="2"/>
  <c r="F41" i="2"/>
  <c r="F42" i="2"/>
  <c r="F43" i="2"/>
  <c r="F44" i="2"/>
  <c r="F5" i="2"/>
  <c r="F6" i="2"/>
  <c r="F7" i="2"/>
  <c r="F8" i="2"/>
  <c r="F4" i="2"/>
  <c r="G23" i="6" l="1"/>
  <c r="G7" i="3"/>
  <c r="G27" i="6"/>
  <c r="G22" i="6"/>
  <c r="G28" i="6"/>
  <c r="G13" i="6"/>
  <c r="G26" i="6"/>
  <c r="F26" i="6"/>
  <c r="G20" i="6"/>
  <c r="G24" i="6"/>
  <c r="G21" i="6"/>
  <c r="F24" i="6"/>
  <c r="F23" i="6"/>
  <c r="F22" i="6"/>
  <c r="F20" i="6"/>
  <c r="G14" i="6"/>
  <c r="G15" i="6"/>
  <c r="G12" i="6"/>
  <c r="F17" i="6"/>
  <c r="F12" i="6"/>
  <c r="G16" i="6"/>
  <c r="F15" i="6"/>
  <c r="F13" i="6"/>
  <c r="G18" i="6"/>
  <c r="F18" i="6"/>
  <c r="F16" i="6"/>
  <c r="F14" i="6"/>
  <c r="I4" i="1"/>
  <c r="D5" i="6"/>
  <c r="E5" i="6"/>
  <c r="E6" i="6"/>
  <c r="D7" i="6"/>
  <c r="E7" i="6"/>
  <c r="G7" i="6" s="1"/>
  <c r="D8" i="6"/>
  <c r="G8" i="6" s="1"/>
  <c r="I32" i="1"/>
  <c r="G9" i="6"/>
  <c r="F9" i="6"/>
  <c r="D10" i="6"/>
  <c r="E10" i="6"/>
  <c r="G10" i="6" s="1"/>
  <c r="F10" i="6" l="1"/>
  <c r="F7" i="6"/>
  <c r="F8" i="6"/>
  <c r="D6" i="6"/>
  <c r="F6" i="6" s="1"/>
  <c r="D4" i="6"/>
  <c r="F4" i="6" s="1"/>
  <c r="G5" i="6"/>
  <c r="F5" i="6"/>
  <c r="F36" i="1"/>
  <c r="F17" i="1"/>
  <c r="I23" i="1"/>
  <c r="H13" i="1"/>
  <c r="H4" i="1"/>
  <c r="F31" i="1"/>
  <c r="F22" i="1"/>
  <c r="I13" i="1"/>
  <c r="F8" i="1"/>
  <c r="H8" i="1"/>
  <c r="H18" i="1"/>
  <c r="I8" i="1"/>
  <c r="H37" i="1"/>
  <c r="H42" i="1"/>
  <c r="H32" i="1"/>
  <c r="F4" i="1"/>
  <c r="F34" i="1"/>
  <c r="F13" i="1"/>
  <c r="F43" i="1"/>
  <c r="F38" i="1"/>
  <c r="F29" i="1"/>
  <c r="H28" i="1"/>
  <c r="H36" i="1"/>
  <c r="I42" i="1"/>
  <c r="H23" i="1"/>
  <c r="I37" i="1"/>
  <c r="H31" i="1"/>
  <c r="I14" i="1"/>
  <c r="H7" i="1"/>
  <c r="H43" i="1"/>
  <c r="H26" i="1"/>
  <c r="I38" i="1"/>
  <c r="H22" i="1"/>
  <c r="I10" i="1"/>
  <c r="H34" i="1"/>
  <c r="H17" i="1"/>
  <c r="H29" i="1"/>
  <c r="I5" i="1"/>
  <c r="H24" i="1"/>
  <c r="H41" i="1"/>
  <c r="I28" i="1"/>
  <c r="H19" i="1"/>
  <c r="H12" i="1"/>
  <c r="F44" i="1"/>
  <c r="F40" i="1"/>
  <c r="F35" i="1"/>
  <c r="F30" i="1"/>
  <c r="F25" i="1"/>
  <c r="F20" i="1"/>
  <c r="H40" i="1"/>
  <c r="H35" i="1"/>
  <c r="H25" i="1"/>
  <c r="F11" i="1"/>
  <c r="I43" i="1"/>
  <c r="I34" i="1"/>
  <c r="I29" i="1"/>
  <c r="I24" i="1"/>
  <c r="I41" i="1"/>
  <c r="H38" i="1"/>
  <c r="I26" i="1"/>
  <c r="F26" i="1"/>
  <c r="F24" i="1"/>
  <c r="F19" i="1"/>
  <c r="H14" i="1"/>
  <c r="H10" i="1"/>
  <c r="H5" i="1"/>
  <c r="F16" i="1"/>
  <c r="H44" i="1"/>
  <c r="H30" i="1"/>
  <c r="H16" i="1"/>
  <c r="F6" i="1"/>
  <c r="H11" i="1"/>
  <c r="H6" i="1"/>
  <c r="I36" i="1"/>
  <c r="I31" i="1"/>
  <c r="I22" i="1"/>
  <c r="F41" i="1"/>
  <c r="F14" i="1"/>
  <c r="I12" i="1"/>
  <c r="F10" i="1"/>
  <c r="I7" i="1"/>
  <c r="F5" i="1"/>
  <c r="F12" i="1"/>
  <c r="F23" i="1"/>
  <c r="I44" i="1"/>
  <c r="I40" i="1"/>
  <c r="I35" i="1"/>
  <c r="I30" i="1"/>
  <c r="I25" i="1"/>
  <c r="I16" i="1"/>
  <c r="H20" i="1"/>
  <c r="I11" i="1"/>
  <c r="I6" i="1"/>
  <c r="F7" i="1"/>
  <c r="F37" i="1"/>
  <c r="F32" i="1"/>
  <c r="F28" i="1"/>
  <c r="F18" i="1"/>
  <c r="F42" i="1"/>
  <c r="G6" i="6" l="1"/>
  <c r="G4" i="6"/>
</calcChain>
</file>

<file path=xl/sharedStrings.xml><?xml version="1.0" encoding="utf-8"?>
<sst xmlns="http://schemas.openxmlformats.org/spreadsheetml/2006/main" count="400" uniqueCount="77">
  <si>
    <t>Daily Progress Report</t>
  </si>
  <si>
    <t>Progress Date :</t>
  </si>
  <si>
    <t>S No.</t>
  </si>
  <si>
    <t>description</t>
  </si>
  <si>
    <t>Uom</t>
  </si>
  <si>
    <t xml:space="preserve"> Scope</t>
  </si>
  <si>
    <t>Cum.Executed Qty till Progress date</t>
  </si>
  <si>
    <t xml:space="preserve">Balance Qty  </t>
  </si>
  <si>
    <t>Progress % w.r.t. scope</t>
  </si>
  <si>
    <t>Remarks</t>
  </si>
  <si>
    <t>I</t>
  </si>
  <si>
    <t>Civil1_Road Over Brige(ROB)</t>
  </si>
  <si>
    <t>A</t>
  </si>
  <si>
    <t>BR-1 (1 x 18)</t>
  </si>
  <si>
    <t>cum</t>
  </si>
  <si>
    <t>B</t>
  </si>
  <si>
    <t>ROB-BR-3 (1 x 36 + 1 x 18)</t>
  </si>
  <si>
    <t>C</t>
  </si>
  <si>
    <t>CULVERT-BR-2A</t>
  </si>
  <si>
    <t>D</t>
  </si>
  <si>
    <t>CULVERT-BR-2B</t>
  </si>
  <si>
    <t>E</t>
  </si>
  <si>
    <t>BR-184</t>
  </si>
  <si>
    <t>F</t>
  </si>
  <si>
    <t>BR-185</t>
  </si>
  <si>
    <t>G</t>
  </si>
  <si>
    <t>FOB</t>
  </si>
  <si>
    <t>II</t>
  </si>
  <si>
    <t>Civil2_Infrastructure</t>
  </si>
  <si>
    <t>Station Building</t>
  </si>
  <si>
    <t>End Goomty (2Nos)</t>
  </si>
  <si>
    <t>Type - I Quarters (10Nos)</t>
  </si>
  <si>
    <t>Type - II Quarters(8 Nos)</t>
  </si>
  <si>
    <t>Type - III Quarters(4 Nos)</t>
  </si>
  <si>
    <t>Rest Room</t>
  </si>
  <si>
    <t>SSE P Way cum Store Room</t>
  </si>
  <si>
    <t>III</t>
  </si>
  <si>
    <t>Civil3_Pway</t>
  </si>
  <si>
    <t>Blanketing(m³)</t>
  </si>
  <si>
    <t>Cum</t>
  </si>
  <si>
    <t>Ballasting(m³)</t>
  </si>
  <si>
    <t>Sleeper(nos.)</t>
  </si>
  <si>
    <t>nos.</t>
  </si>
  <si>
    <t>Track Linking(m)</t>
  </si>
  <si>
    <t>meter</t>
  </si>
  <si>
    <t>Point &amp; crossing(set)</t>
  </si>
  <si>
    <t>set</t>
  </si>
  <si>
    <t>IV</t>
  </si>
  <si>
    <t>Earthwork</t>
  </si>
  <si>
    <t>SAIL land(m³)</t>
  </si>
  <si>
    <t>Rail Land</t>
  </si>
  <si>
    <t>Total Land(m³)</t>
  </si>
  <si>
    <t>V</t>
  </si>
  <si>
    <t>VI</t>
  </si>
  <si>
    <t>VII</t>
  </si>
  <si>
    <t>Cum.Executed Qty till last month</t>
  </si>
  <si>
    <t>Cum.Executed Qty For current month</t>
  </si>
  <si>
    <t>Excavation(m³)</t>
  </si>
  <si>
    <t>1. Area not handed over.</t>
  </si>
  <si>
    <t>PCC(m³)</t>
  </si>
  <si>
    <t>Formwork(m²)</t>
  </si>
  <si>
    <t>Sqm</t>
  </si>
  <si>
    <t>Reinforcement Work(Ton)</t>
  </si>
  <si>
    <t>Ton</t>
  </si>
  <si>
    <t>RCC(m³)</t>
  </si>
  <si>
    <t>1. Abutment shaft RCC in progress</t>
  </si>
  <si>
    <t>1. raft completed. Wall RCC in progress</t>
  </si>
  <si>
    <t>1. 80% Area handed over on Jan-26. Excavation work in progress.</t>
  </si>
  <si>
    <t>Description of Item</t>
  </si>
  <si>
    <t>sqm</t>
  </si>
  <si>
    <t>Brick work(m³)</t>
  </si>
  <si>
    <t>Finishing(m²)</t>
  </si>
  <si>
    <t>Type - II Quarters        (8 Nos)</t>
  </si>
  <si>
    <t>Type - III Quarters           (4 Nos)</t>
  </si>
  <si>
    <t>Executed Qty till Progress date</t>
  </si>
  <si>
    <t>PWAY tracks</t>
  </si>
  <si>
    <t>RAIL Land(m³)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</si>
</sst>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name val="Calibri"/>
    </font>
    <font>
      <b/>
      <sz val="11"/>
      <name val="Adani Regular"/>
    </font>
    <font>
      <sz val="11"/>
      <name val="Adani Regular"/>
    </font>
    <font>
      <sz val="11"/>
      <color rgb="FF000000"/>
      <name val="Calibri"/>
      <family val="2"/>
    </font>
    <font>
      <b/>
      <sz val="12"/>
      <name val="Adani Regular"/>
    </font>
    <font>
      <sz val="12"/>
      <name val="Adani Regular"/>
    </font>
    <font>
      <b/>
      <sz val="12"/>
      <color rgb="FF0000FF"/>
      <name val="Adani Regular"/>
    </font>
    <font>
      <sz val="14"/>
      <name val="Adani Regular"/>
    </font>
    <font>
      <b/>
      <sz val="14"/>
      <name val="Adani Regular"/>
    </font>
    <font>
      <sz val="16"/>
      <name val="Adani Regular"/>
    </font>
    <font>
      <b/>
      <sz val="16"/>
      <name val="Adani Regular"/>
    </font>
    <font>
      <sz val="8"/>
      <name val="Calibri"/>
      <family val="2"/>
    </font>
    <font>
      <sz val="11"/>
      <name val="Calibri"/>
      <family val="2"/>
    </font>
    <font>
      <b/>
      <sz val="10"/>
      <name val="Adani Regular"/>
    </font>
    <font>
      <sz val="10"/>
      <name val="Adani Regular"/>
    </font>
    <font>
      <b/>
      <sz val="12"/>
      <color rgb="FF000000"/>
      <name val="Adani Regular"/>
    </font>
    <font>
      <b/>
      <sz val="12"/>
      <color theme="1"/>
      <name val="Adani Regular"/>
    </font>
    <font>
      <sz val="12"/>
      <color theme="1"/>
      <name val="Adani Regular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>
      <alignment vertical="top"/>
      <protection locked="0"/>
    </xf>
    <xf numFmtId="9" fontId="3" fillId="0" borderId="0">
      <alignment vertical="top"/>
      <protection locked="0"/>
    </xf>
    <xf numFmtId="43" fontId="12" fillId="0" borderId="0" applyFont="0" applyFill="0" applyBorder="0" applyAlignment="0" applyProtection="0"/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" fontId="4" fillId="2" borderId="2" xfId="0" applyNumberFormat="1" applyFont="1" applyFill="1" applyBorder="1" applyAlignment="1">
      <alignment horizontal="right" vertical="center" wrapText="1" indent="1"/>
    </xf>
    <xf numFmtId="0" fontId="4" fillId="2" borderId="2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9" fontId="8" fillId="3" borderId="2" xfId="2" applyFont="1" applyFill="1" applyBorder="1" applyAlignment="1" applyProtection="1">
      <alignment horizontal="center" vertical="center" wrapText="1"/>
    </xf>
    <xf numFmtId="1" fontId="8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14" fontId="10" fillId="4" borderId="5" xfId="2" applyNumberFormat="1" applyFont="1" applyFill="1" applyBorder="1" applyAlignment="1" applyProtection="1">
      <alignment horizontal="left" vertical="center"/>
    </xf>
    <xf numFmtId="0" fontId="10" fillId="4" borderId="6" xfId="0" applyFont="1" applyFill="1" applyBorder="1" applyAlignment="1">
      <alignment horizontal="right" vertical="center"/>
    </xf>
    <xf numFmtId="1" fontId="9" fillId="4" borderId="6" xfId="0" applyNumberFormat="1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>
      <alignment vertical="center"/>
    </xf>
    <xf numFmtId="0" fontId="10" fillId="4" borderId="7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4" fillId="4" borderId="6" xfId="0" applyFont="1" applyFill="1" applyBorder="1">
      <alignment vertical="center"/>
    </xf>
    <xf numFmtId="0" fontId="14" fillId="4" borderId="6" xfId="0" applyFont="1" applyFill="1" applyBorder="1" applyAlignment="1">
      <alignment horizontal="center" vertical="center"/>
    </xf>
    <xf numFmtId="1" fontId="14" fillId="4" borderId="6" xfId="0" applyNumberFormat="1" applyFont="1" applyFill="1" applyBorder="1" applyAlignment="1">
      <alignment horizontal="right" vertical="center"/>
    </xf>
    <xf numFmtId="14" fontId="13" fillId="4" borderId="5" xfId="2" applyNumberFormat="1" applyFont="1" applyFill="1" applyBorder="1" applyAlignment="1" applyProtection="1">
      <alignment horizontal="left" vertical="center"/>
    </xf>
    <xf numFmtId="2" fontId="0" fillId="0" borderId="0" xfId="0" applyNumberFormat="1">
      <alignment vertical="center"/>
    </xf>
    <xf numFmtId="0" fontId="13" fillId="4" borderId="8" xfId="0" applyFont="1" applyFill="1" applyBorder="1" applyAlignment="1">
      <alignment horizontal="left" vertical="center"/>
    </xf>
    <xf numFmtId="14" fontId="13" fillId="4" borderId="10" xfId="2" applyNumberFormat="1" applyFont="1" applyFill="1" applyBorder="1" applyAlignment="1" applyProtection="1">
      <alignment horizontal="left" vertical="center"/>
    </xf>
    <xf numFmtId="1" fontId="13" fillId="0" borderId="11" xfId="0" applyNumberFormat="1" applyFont="1" applyBorder="1" applyAlignment="1">
      <alignment horizontal="left" vertical="center" wrapText="1"/>
    </xf>
    <xf numFmtId="1" fontId="13" fillId="0" borderId="15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0" fontId="14" fillId="4" borderId="9" xfId="0" applyFont="1" applyFill="1" applyBorder="1" applyAlignment="1">
      <alignment horizontal="left" vertical="center"/>
    </xf>
    <xf numFmtId="2" fontId="14" fillId="4" borderId="9" xfId="0" applyNumberFormat="1" applyFont="1" applyFill="1" applyBorder="1" applyAlignment="1">
      <alignment horizontal="left" vertical="center"/>
    </xf>
    <xf numFmtId="1" fontId="14" fillId="4" borderId="9" xfId="0" applyNumberFormat="1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2" fontId="13" fillId="3" borderId="2" xfId="0" applyNumberFormat="1" applyFont="1" applyFill="1" applyBorder="1" applyAlignment="1">
      <alignment horizontal="left" vertical="center" wrapText="1"/>
    </xf>
    <xf numFmtId="1" fontId="13" fillId="3" borderId="2" xfId="0" applyNumberFormat="1" applyFont="1" applyFill="1" applyBorder="1" applyAlignment="1">
      <alignment horizontal="left" vertical="center" wrapText="1"/>
    </xf>
    <xf numFmtId="9" fontId="13" fillId="3" borderId="2" xfId="2" applyFont="1" applyFill="1" applyBorder="1" applyAlignment="1" applyProtection="1">
      <alignment horizontal="left" vertical="center" wrapText="1"/>
    </xf>
    <xf numFmtId="9" fontId="13" fillId="3" borderId="12" xfId="2" applyFont="1" applyFill="1" applyBorder="1" applyAlignment="1" applyProtection="1">
      <alignment horizontal="left" vertical="center" wrapText="1"/>
    </xf>
    <xf numFmtId="0" fontId="13" fillId="2" borderId="11" xfId="0" applyFont="1" applyFill="1" applyBorder="1" applyAlignment="1">
      <alignment horizontal="left" vertical="center" wrapText="1"/>
    </xf>
    <xf numFmtId="1" fontId="13" fillId="2" borderId="1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4" fillId="0" borderId="2" xfId="0" applyNumberFormat="1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0" fontId="15" fillId="0" borderId="2" xfId="1" applyNumberFormat="1" applyFont="1" applyBorder="1" applyAlignment="1">
      <alignment horizontal="left" vertical="top"/>
      <protection locked="0"/>
    </xf>
    <xf numFmtId="1" fontId="4" fillId="0" borderId="16" xfId="0" applyNumberFormat="1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10" fontId="15" fillId="0" borderId="16" xfId="1" applyNumberFormat="1" applyFont="1" applyBorder="1" applyAlignment="1">
      <alignment horizontal="left" vertical="top"/>
      <protection locked="0"/>
    </xf>
    <xf numFmtId="43" fontId="15" fillId="0" borderId="0" xfId="3" applyFont="1" applyAlignment="1">
      <alignment horizontal="left" vertical="center"/>
    </xf>
    <xf numFmtId="43" fontId="4" fillId="0" borderId="2" xfId="3" applyFont="1" applyBorder="1" applyAlignment="1">
      <alignment horizontal="left" vertical="center" wrapText="1"/>
    </xf>
    <xf numFmtId="43" fontId="4" fillId="0" borderId="16" xfId="3" applyFont="1" applyBorder="1" applyAlignment="1">
      <alignment horizontal="left" vertical="center" wrapText="1"/>
    </xf>
    <xf numFmtId="43" fontId="13" fillId="4" borderId="8" xfId="3" applyFont="1" applyFill="1" applyBorder="1" applyAlignment="1">
      <alignment horizontal="left" vertical="center"/>
    </xf>
    <xf numFmtId="43" fontId="14" fillId="4" borderId="9" xfId="3" applyFont="1" applyFill="1" applyBorder="1" applyAlignment="1">
      <alignment vertical="center"/>
    </xf>
    <xf numFmtId="43" fontId="14" fillId="4" borderId="9" xfId="3" applyFont="1" applyFill="1" applyBorder="1" applyAlignment="1">
      <alignment horizontal="center" vertical="center"/>
    </xf>
    <xf numFmtId="43" fontId="14" fillId="4" borderId="9" xfId="3" applyFont="1" applyFill="1" applyBorder="1" applyAlignment="1">
      <alignment horizontal="right" vertical="center"/>
    </xf>
    <xf numFmtId="43" fontId="13" fillId="4" borderId="9" xfId="3" applyFont="1" applyFill="1" applyBorder="1" applyAlignment="1">
      <alignment horizontal="right" vertical="center"/>
    </xf>
    <xf numFmtId="43" fontId="4" fillId="0" borderId="0" xfId="3" applyFont="1" applyAlignment="1">
      <alignment horizontal="left" vertical="center"/>
    </xf>
    <xf numFmtId="43" fontId="16" fillId="0" borderId="2" xfId="3" applyFont="1" applyBorder="1" applyAlignment="1">
      <alignment vertical="center"/>
    </xf>
    <xf numFmtId="43" fontId="4" fillId="0" borderId="2" xfId="3" applyFont="1" applyBorder="1" applyAlignment="1">
      <alignment vertical="center" wrapText="1"/>
    </xf>
    <xf numFmtId="43" fontId="4" fillId="0" borderId="0" xfId="3" applyFont="1" applyAlignment="1">
      <alignment vertical="center"/>
    </xf>
    <xf numFmtId="43" fontId="4" fillId="0" borderId="16" xfId="3" applyFont="1" applyBorder="1" applyAlignment="1">
      <alignment vertical="center" wrapText="1"/>
    </xf>
    <xf numFmtId="43" fontId="15" fillId="0" borderId="0" xfId="3" applyFont="1" applyAlignment="1">
      <alignment vertical="center"/>
    </xf>
    <xf numFmtId="43" fontId="4" fillId="2" borderId="2" xfId="3" applyFont="1" applyFill="1" applyBorder="1" applyAlignment="1">
      <alignment horizontal="left" vertical="center" wrapText="1"/>
    </xf>
    <xf numFmtId="43" fontId="5" fillId="0" borderId="2" xfId="3" applyFont="1" applyBorder="1" applyAlignment="1">
      <alignment horizontal="left" vertical="center" wrapText="1"/>
    </xf>
    <xf numFmtId="43" fontId="4" fillId="2" borderId="2" xfId="3" applyFont="1" applyFill="1" applyBorder="1" applyAlignment="1">
      <alignment vertical="center" wrapText="1"/>
    </xf>
    <xf numFmtId="43" fontId="5" fillId="0" borderId="2" xfId="3" applyFont="1" applyBorder="1" applyAlignment="1">
      <alignment vertical="center" wrapText="1"/>
    </xf>
    <xf numFmtId="43" fontId="5" fillId="4" borderId="2" xfId="3" applyFont="1" applyFill="1" applyBorder="1" applyAlignment="1">
      <alignment vertical="center" wrapText="1"/>
    </xf>
    <xf numFmtId="43" fontId="5" fillId="0" borderId="3" xfId="3" applyFont="1" applyBorder="1" applyAlignment="1">
      <alignment vertical="center" wrapText="1"/>
    </xf>
    <xf numFmtId="43" fontId="6" fillId="2" borderId="2" xfId="3" applyFont="1" applyFill="1" applyBorder="1" applyAlignment="1">
      <alignment horizontal="left" vertical="center" wrapText="1"/>
    </xf>
    <xf numFmtId="43" fontId="4" fillId="4" borderId="7" xfId="3" applyFont="1" applyFill="1" applyBorder="1" applyAlignment="1">
      <alignment horizontal="left" vertical="center"/>
    </xf>
    <xf numFmtId="43" fontId="5" fillId="4" borderId="6" xfId="3" applyFont="1" applyFill="1" applyBorder="1" applyAlignment="1">
      <alignment horizontal="left" vertical="center"/>
    </xf>
    <xf numFmtId="43" fontId="4" fillId="4" borderId="6" xfId="3" applyFont="1" applyFill="1" applyBorder="1" applyAlignment="1">
      <alignment horizontal="left" vertical="center"/>
    </xf>
    <xf numFmtId="43" fontId="4" fillId="4" borderId="5" xfId="3" applyFont="1" applyFill="1" applyBorder="1" applyAlignment="1" applyProtection="1">
      <alignment horizontal="left" vertical="center"/>
    </xf>
    <xf numFmtId="43" fontId="4" fillId="3" borderId="2" xfId="3" applyFont="1" applyFill="1" applyBorder="1" applyAlignment="1">
      <alignment horizontal="left" vertical="center" wrapText="1"/>
    </xf>
    <xf numFmtId="43" fontId="4" fillId="3" borderId="2" xfId="3" applyFont="1" applyFill="1" applyBorder="1" applyAlignment="1" applyProtection="1">
      <alignment horizontal="left" vertical="center" wrapText="1"/>
    </xf>
    <xf numFmtId="43" fontId="5" fillId="0" borderId="0" xfId="3" applyFont="1" applyAlignment="1">
      <alignment horizontal="left" vertical="center"/>
    </xf>
    <xf numFmtId="43" fontId="18" fillId="0" borderId="0" xfId="3" applyFont="1" applyAlignment="1">
      <alignment vertical="center"/>
    </xf>
    <xf numFmtId="43" fontId="4" fillId="3" borderId="2" xfId="3" applyFont="1" applyFill="1" applyBorder="1" applyAlignment="1">
      <alignment vertical="center" wrapText="1"/>
    </xf>
    <xf numFmtId="43" fontId="4" fillId="3" borderId="2" xfId="3" applyFont="1" applyFill="1" applyBorder="1" applyAlignment="1" applyProtection="1">
      <alignment vertical="center" wrapText="1"/>
    </xf>
    <xf numFmtId="43" fontId="16" fillId="4" borderId="2" xfId="3" applyFont="1" applyFill="1" applyBorder="1" applyAlignment="1">
      <alignment vertical="center"/>
    </xf>
    <xf numFmtId="43" fontId="4" fillId="3" borderId="11" xfId="3" applyFont="1" applyFill="1" applyBorder="1" applyAlignment="1">
      <alignment vertical="center" wrapText="1"/>
    </xf>
    <xf numFmtId="43" fontId="4" fillId="2" borderId="11" xfId="3" applyFont="1" applyFill="1" applyBorder="1" applyAlignment="1">
      <alignment vertical="center" wrapText="1"/>
    </xf>
    <xf numFmtId="43" fontId="4" fillId="0" borderId="11" xfId="3" applyFont="1" applyBorder="1" applyAlignment="1">
      <alignment vertical="center" wrapText="1"/>
    </xf>
    <xf numFmtId="43" fontId="4" fillId="0" borderId="15" xfId="3" applyFont="1" applyBorder="1" applyAlignment="1">
      <alignment vertical="center" wrapText="1"/>
    </xf>
    <xf numFmtId="43" fontId="4" fillId="3" borderId="12" xfId="3" applyFont="1" applyFill="1" applyBorder="1" applyAlignment="1" applyProtection="1">
      <alignment vertical="center" wrapText="1"/>
    </xf>
    <xf numFmtId="43" fontId="4" fillId="2" borderId="12" xfId="3" applyFont="1" applyFill="1" applyBorder="1" applyAlignment="1">
      <alignment vertical="center" wrapText="1"/>
    </xf>
    <xf numFmtId="43" fontId="4" fillId="2" borderId="1" xfId="3" applyFont="1" applyFill="1" applyBorder="1" applyAlignment="1">
      <alignment vertical="center" wrapText="1"/>
    </xf>
    <xf numFmtId="43" fontId="4" fillId="0" borderId="2" xfId="3" applyFont="1" applyBorder="1" applyAlignment="1">
      <alignment vertical="center"/>
    </xf>
    <xf numFmtId="10" fontId="15" fillId="0" borderId="2" xfId="3" applyNumberFormat="1" applyFont="1" applyBorder="1" applyAlignment="1" applyProtection="1">
      <alignment vertical="top"/>
      <protection locked="0"/>
    </xf>
    <xf numFmtId="10" fontId="4" fillId="2" borderId="2" xfId="3" applyNumberFormat="1" applyFont="1" applyFill="1" applyBorder="1" applyAlignment="1">
      <alignment vertical="center" wrapText="1"/>
    </xf>
    <xf numFmtId="10" fontId="13" fillId="4" borderId="6" xfId="0" applyNumberFormat="1" applyFont="1" applyFill="1" applyBorder="1" applyAlignment="1">
      <alignment horizontal="right" vertical="center"/>
    </xf>
    <xf numFmtId="10" fontId="4" fillId="3" borderId="2" xfId="3" applyNumberFormat="1" applyFont="1" applyFill="1" applyBorder="1" applyAlignment="1" applyProtection="1">
      <alignment vertical="center" wrapText="1"/>
    </xf>
    <xf numFmtId="10" fontId="0" fillId="0" borderId="0" xfId="0" applyNumberFormat="1">
      <alignment vertical="center"/>
    </xf>
    <xf numFmtId="1" fontId="4" fillId="2" borderId="2" xfId="3" applyNumberFormat="1" applyFont="1" applyFill="1" applyBorder="1" applyAlignment="1">
      <alignment vertical="center" wrapText="1"/>
    </xf>
    <xf numFmtId="1" fontId="4" fillId="0" borderId="2" xfId="3" applyNumberFormat="1" applyFont="1" applyBorder="1" applyAlignment="1">
      <alignment vertical="center" wrapText="1"/>
    </xf>
    <xf numFmtId="1" fontId="16" fillId="0" borderId="2" xfId="3" applyNumberFormat="1" applyFont="1" applyBorder="1" applyAlignment="1">
      <alignment vertical="center"/>
    </xf>
    <xf numFmtId="1" fontId="4" fillId="2" borderId="1" xfId="3" applyNumberFormat="1" applyFont="1" applyFill="1" applyBorder="1" applyAlignment="1">
      <alignment vertical="center" wrapText="1"/>
    </xf>
    <xf numFmtId="1" fontId="15" fillId="0" borderId="2" xfId="3" applyNumberFormat="1" applyFont="1" applyBorder="1" applyAlignment="1">
      <alignment vertical="center"/>
    </xf>
    <xf numFmtId="1" fontId="0" fillId="0" borderId="0" xfId="0" applyNumberFormat="1">
      <alignment vertical="center"/>
    </xf>
    <xf numFmtId="9" fontId="3" fillId="0" borderId="0" xfId="1">
      <alignment vertical="top"/>
      <protection locked="0"/>
    </xf>
    <xf numFmtId="9" fontId="3" fillId="0" borderId="1" xfId="1" applyBorder="1">
      <alignment vertical="top"/>
      <protection locked="0"/>
    </xf>
    <xf numFmtId="1" fontId="5" fillId="0" borderId="4" xfId="0" applyNumberFormat="1" applyFont="1" applyBorder="1" applyAlignment="1">
      <alignment horizontal="left" vertical="center" wrapText="1"/>
    </xf>
    <xf numFmtId="1" fontId="5" fillId="0" borderId="3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43" fontId="17" fillId="0" borderId="4" xfId="3" applyFont="1" applyBorder="1" applyAlignment="1">
      <alignment horizontal="left" vertical="center"/>
    </xf>
    <xf numFmtId="43" fontId="17" fillId="0" borderId="3" xfId="3" applyFont="1" applyBorder="1" applyAlignment="1">
      <alignment horizontal="left" vertical="center"/>
    </xf>
    <xf numFmtId="43" fontId="17" fillId="0" borderId="1" xfId="3" applyFont="1" applyBorder="1" applyAlignment="1">
      <alignment horizontal="left" vertical="center"/>
    </xf>
    <xf numFmtId="43" fontId="5" fillId="0" borderId="4" xfId="3" applyFont="1" applyBorder="1" applyAlignment="1">
      <alignment horizontal="left" vertical="center" wrapText="1"/>
    </xf>
    <xf numFmtId="43" fontId="5" fillId="0" borderId="3" xfId="3" applyFont="1" applyBorder="1" applyAlignment="1">
      <alignment horizontal="left" vertical="center" wrapText="1"/>
    </xf>
    <xf numFmtId="43" fontId="5" fillId="0" borderId="1" xfId="3" applyFont="1" applyBorder="1" applyAlignment="1">
      <alignment horizontal="left" vertical="center" wrapText="1"/>
    </xf>
    <xf numFmtId="43" fontId="5" fillId="0" borderId="4" xfId="3" applyFont="1" applyBorder="1" applyAlignment="1">
      <alignment vertical="center" wrapText="1"/>
    </xf>
    <xf numFmtId="43" fontId="5" fillId="0" borderId="3" xfId="3" applyFont="1" applyBorder="1" applyAlignment="1">
      <alignment vertical="center" wrapText="1"/>
    </xf>
    <xf numFmtId="43" fontId="5" fillId="0" borderId="1" xfId="3" applyFont="1" applyBorder="1" applyAlignment="1">
      <alignment vertical="center" wrapText="1"/>
    </xf>
    <xf numFmtId="43" fontId="17" fillId="0" borderId="4" xfId="3" applyFont="1" applyBorder="1" applyAlignment="1">
      <alignment vertical="center"/>
    </xf>
    <xf numFmtId="43" fontId="17" fillId="0" borderId="3" xfId="3" applyFont="1" applyBorder="1" applyAlignment="1">
      <alignment vertical="center"/>
    </xf>
    <xf numFmtId="43" fontId="17" fillId="0" borderId="1" xfId="3" applyFont="1" applyBorder="1" applyAlignment="1">
      <alignment vertical="center"/>
    </xf>
    <xf numFmtId="43" fontId="5" fillId="0" borderId="13" xfId="3" applyFont="1" applyBorder="1" applyAlignment="1">
      <alignment vertical="center" wrapText="1"/>
    </xf>
    <xf numFmtId="43" fontId="5" fillId="0" borderId="14" xfId="3" applyFont="1" applyBorder="1" applyAlignment="1">
      <alignment vertical="center" wrapText="1"/>
    </xf>
    <xf numFmtId="43" fontId="5" fillId="0" borderId="17" xfId="3" applyFont="1" applyBorder="1" applyAlignment="1">
      <alignment vertical="center" wrapText="1"/>
    </xf>
    <xf numFmtId="1" fontId="13" fillId="0" borderId="13" xfId="0" applyNumberFormat="1" applyFont="1" applyBorder="1" applyAlignment="1">
      <alignment horizontal="left" vertical="center" wrapText="1"/>
    </xf>
    <xf numFmtId="1" fontId="13" fillId="0" borderId="14" xfId="0" applyNumberFormat="1" applyFont="1" applyBorder="1" applyAlignment="1">
      <alignment horizontal="left" vertical="center" wrapText="1"/>
    </xf>
    <xf numFmtId="1" fontId="13" fillId="0" borderId="17" xfId="0" applyNumberFormat="1" applyFont="1" applyBorder="1" applyAlignment="1">
      <alignment horizontal="left" vertical="center" wrapText="1"/>
    </xf>
  </cellXfs>
  <cellStyles count="4">
    <cellStyle name="Comma" xfId="3" builtinId="3"/>
    <cellStyle name="Normal" xfId="0" builtinId="0"/>
    <cellStyle name="Per cent" xfId="1" builtinId="5"/>
    <cellStyle name="Percent 2" xfId="2" xr:uid="{7EA536F3-9695-402B-B87A-D2A095E24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ROB_CIVIL1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Visual_Dashbord!$B$4:$B$10</c:f>
              <c:strCache>
                <c:ptCount val="7"/>
                <c:pt idx="0">
                  <c:v> BR-1 (1 x 18) </c:v>
                </c:pt>
                <c:pt idx="1">
                  <c:v> ROB-BR-3 (1 x 36 + 1 x 18) </c:v>
                </c:pt>
                <c:pt idx="2">
                  <c:v> CULVERT-BR-2A </c:v>
                </c:pt>
                <c:pt idx="3">
                  <c:v> CULVERT-BR-2B </c:v>
                </c:pt>
                <c:pt idx="4">
                  <c:v> BR-184 </c:v>
                </c:pt>
                <c:pt idx="5">
                  <c:v> BR-185 </c:v>
                </c:pt>
                <c:pt idx="6">
                  <c:v> FOB </c:v>
                </c:pt>
              </c:strCache>
            </c:strRef>
          </c:cat>
          <c:val>
            <c:numRef>
              <c:f>Visual_Dashbord!$D$4:$D$10</c:f>
              <c:numCache>
                <c:formatCode>0</c:formatCode>
                <c:ptCount val="7"/>
                <c:pt idx="0">
                  <c:v>841</c:v>
                </c:pt>
                <c:pt idx="1">
                  <c:v>1550</c:v>
                </c:pt>
                <c:pt idx="2">
                  <c:v>715</c:v>
                </c:pt>
                <c:pt idx="3">
                  <c:v>885</c:v>
                </c:pt>
                <c:pt idx="4">
                  <c:v>178</c:v>
                </c:pt>
                <c:pt idx="5">
                  <c:v>233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6-4B59-B25D-E453944C772A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Visual_Dashbord!$B$4:$B$10</c:f>
              <c:strCache>
                <c:ptCount val="7"/>
                <c:pt idx="0">
                  <c:v> BR-1 (1 x 18) </c:v>
                </c:pt>
                <c:pt idx="1">
                  <c:v> ROB-BR-3 (1 x 36 + 1 x 18) </c:v>
                </c:pt>
                <c:pt idx="2">
                  <c:v> CULVERT-BR-2A </c:v>
                </c:pt>
                <c:pt idx="3">
                  <c:v> CULVERT-BR-2B </c:v>
                </c:pt>
                <c:pt idx="4">
                  <c:v> BR-184 </c:v>
                </c:pt>
                <c:pt idx="5">
                  <c:v> BR-185 </c:v>
                </c:pt>
                <c:pt idx="6">
                  <c:v> FOB </c:v>
                </c:pt>
              </c:strCache>
            </c:strRef>
          </c:cat>
          <c:val>
            <c:numRef>
              <c:f>Visual_Dashbord!$E$4:$E$10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775</c:v>
                </c:pt>
                <c:pt idx="2">
                  <c:v>692.25</c:v>
                </c:pt>
                <c:pt idx="3">
                  <c:v>624</c:v>
                </c:pt>
                <c:pt idx="4">
                  <c:v>0</c:v>
                </c:pt>
                <c:pt idx="5">
                  <c:v>85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6-4B59-B25D-E453944C77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9140624"/>
        <c:axId val="639129584"/>
      </c:barChart>
      <c:catAx>
        <c:axId val="63914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29584"/>
        <c:crosses val="autoZero"/>
        <c:auto val="1"/>
        <c:lblAlgn val="ctr"/>
        <c:lblOffset val="100"/>
        <c:noMultiLvlLbl val="0"/>
      </c:catAx>
      <c:valAx>
        <c:axId val="6391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4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latin typeface="ADani regular"/>
              </a:rPr>
              <a:t>Infra_CIVIL2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137041928813708"/>
          <c:y val="0.10601448603253033"/>
          <c:w val="0.64055014379182607"/>
          <c:h val="0.70980403021517047"/>
        </c:manualLayout>
      </c:layout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Visual_Dashbord!$B$12:$B$18</c:f>
              <c:strCache>
                <c:ptCount val="7"/>
                <c:pt idx="0">
                  <c:v> Station Building </c:v>
                </c:pt>
                <c:pt idx="1">
                  <c:v> End Goomty (2Nos) </c:v>
                </c:pt>
                <c:pt idx="2">
                  <c:v> Type - I Quarters (10Nos) </c:v>
                </c:pt>
                <c:pt idx="3">
                  <c:v> Type - II Quarters(8 Nos) </c:v>
                </c:pt>
                <c:pt idx="4">
                  <c:v> Type - III Quarters(4 Nos) </c:v>
                </c:pt>
                <c:pt idx="5">
                  <c:v> Rest Room </c:v>
                </c:pt>
                <c:pt idx="6">
                  <c:v> SSE P Way cum Store Room </c:v>
                </c:pt>
              </c:strCache>
            </c:strRef>
          </c:cat>
          <c:val>
            <c:numRef>
              <c:f>Visual_Dashbord!$D$12:$D$18</c:f>
              <c:numCache>
                <c:formatCode>0</c:formatCode>
                <c:ptCount val="7"/>
                <c:pt idx="0">
                  <c:v>83.714169499999983</c:v>
                </c:pt>
                <c:pt idx="1">
                  <c:v>83.14553500000001</c:v>
                </c:pt>
                <c:pt idx="2">
                  <c:v>287.19565359374997</c:v>
                </c:pt>
                <c:pt idx="3">
                  <c:v>229.76</c:v>
                </c:pt>
                <c:pt idx="4">
                  <c:v>158.04330937500001</c:v>
                </c:pt>
                <c:pt idx="5">
                  <c:v>18.946189500000003</c:v>
                </c:pt>
                <c:pt idx="6">
                  <c:v>82.375576250000009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F-4791-81DA-C8B5285D01D7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Visual_Dashbord!$B$12:$B$18</c:f>
              <c:strCache>
                <c:ptCount val="7"/>
                <c:pt idx="0">
                  <c:v> Station Building </c:v>
                </c:pt>
                <c:pt idx="1">
                  <c:v> End Goomty (2Nos) </c:v>
                </c:pt>
                <c:pt idx="2">
                  <c:v> Type - I Quarters (10Nos) </c:v>
                </c:pt>
                <c:pt idx="3">
                  <c:v> Type - II Quarters(8 Nos) </c:v>
                </c:pt>
                <c:pt idx="4">
                  <c:v> Type - III Quarters(4 Nos) </c:v>
                </c:pt>
                <c:pt idx="5">
                  <c:v> Rest Room </c:v>
                </c:pt>
                <c:pt idx="6">
                  <c:v> SSE P Way cum Store Room </c:v>
                </c:pt>
              </c:strCache>
              <c:extLst xmlns:c15="http://schemas.microsoft.com/office/drawing/2012/chart"/>
            </c:strRef>
          </c:cat>
          <c:val>
            <c:numRef>
              <c:f>Visual_Dashbord!$E$12:$E$18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197F-4791-81DA-C8B5285D01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1196992"/>
        <c:axId val="631195552"/>
        <c:extLst/>
      </c:barChart>
      <c:catAx>
        <c:axId val="6311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95552"/>
        <c:crosses val="autoZero"/>
        <c:auto val="1"/>
        <c:lblAlgn val="ctr"/>
        <c:lblOffset val="100"/>
        <c:noMultiLvlLbl val="0"/>
      </c:catAx>
      <c:valAx>
        <c:axId val="6311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223795168768697"/>
          <c:y val="0.89312720911135712"/>
          <c:w val="0.53092812857515082"/>
          <c:h val="4.9365238592664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72 Black" panose="020B0A04030603020204" pitchFamily="34" charset="0"/>
                <a:cs typeface="72 Black" panose="020B0A04030603020204" pitchFamily="34" charset="0"/>
              </a:rPr>
              <a:t>PWAY TRACK</a:t>
            </a:r>
          </a:p>
        </c:rich>
      </c:tx>
      <c:layout>
        <c:manualLayout>
          <c:xMode val="edge"/>
          <c:yMode val="edge"/>
          <c:x val="0.43398714445441355"/>
          <c:y val="1.7175658980671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49869144813418"/>
          <c:y val="0.14707459669919526"/>
          <c:w val="0.71416797900262463"/>
          <c:h val="0.670539880431612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CV3_Pway!$D$2:$D$3</c:f>
              <c:strCache>
                <c:ptCount val="2"/>
                <c:pt idx="0">
                  <c:v>  Scope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CV3_Pway!$B$4:$B$8</c:f>
              <c:strCache>
                <c:ptCount val="5"/>
                <c:pt idx="0">
                  <c:v> Blanketing(m³) </c:v>
                </c:pt>
                <c:pt idx="1">
                  <c:v> Ballasting(m³) </c:v>
                </c:pt>
                <c:pt idx="2">
                  <c:v> Sleeper(nos.) </c:v>
                </c:pt>
                <c:pt idx="3">
                  <c:v> Track Linking(m) </c:v>
                </c:pt>
                <c:pt idx="4">
                  <c:v> Point &amp; crossing(set) </c:v>
                </c:pt>
              </c:strCache>
            </c:strRef>
          </c:cat>
          <c:val>
            <c:numRef>
              <c:f>CV3_Pway!$D$4:$D$8</c:f>
              <c:numCache>
                <c:formatCode>_(* #,##0.00_);_(* \(#,##0.00\);_(* "-"??_);_(@_)</c:formatCode>
                <c:ptCount val="5"/>
                <c:pt idx="0">
                  <c:v>49980</c:v>
                </c:pt>
                <c:pt idx="1">
                  <c:v>23034</c:v>
                </c:pt>
                <c:pt idx="2">
                  <c:v>17060</c:v>
                </c:pt>
                <c:pt idx="3">
                  <c:v>10270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A-45A5-8312-9BF1E9D77109}"/>
            </c:ext>
          </c:extLst>
        </c:ser>
        <c:ser>
          <c:idx val="1"/>
          <c:order val="1"/>
          <c:tx>
            <c:strRef>
              <c:f>CV3_Pway!$E$2:$E$3</c:f>
              <c:strCache>
                <c:ptCount val="2"/>
                <c:pt idx="0">
                  <c:v> Executed Qty till Progress date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CV3_Pway!$B$4:$B$8</c:f>
              <c:strCache>
                <c:ptCount val="5"/>
                <c:pt idx="0">
                  <c:v> Blanketing(m³) </c:v>
                </c:pt>
                <c:pt idx="1">
                  <c:v> Ballasting(m³) </c:v>
                </c:pt>
                <c:pt idx="2">
                  <c:v> Sleeper(nos.) </c:v>
                </c:pt>
                <c:pt idx="3">
                  <c:v> Track Linking(m) </c:v>
                </c:pt>
                <c:pt idx="4">
                  <c:v> Point &amp; crossing(set) </c:v>
                </c:pt>
              </c:strCache>
            </c:strRef>
          </c:cat>
          <c:val>
            <c:numRef>
              <c:f>CV3_Pway!$E$4:$E$8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B5A-45A5-8312-9BF1E9D7710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1369008"/>
        <c:axId val="1131366608"/>
      </c:barChart>
      <c:catAx>
        <c:axId val="113136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6608"/>
        <c:crosses val="autoZero"/>
        <c:auto val="1"/>
        <c:lblAlgn val="ctr"/>
        <c:lblOffset val="100"/>
        <c:noMultiLvlLbl val="0"/>
      </c:catAx>
      <c:valAx>
        <c:axId val="11313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Earthwork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Earthwork!$D$2:$D$3</c:f>
              <c:strCache>
                <c:ptCount val="2"/>
                <c:pt idx="0">
                  <c:v> Scope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Earthwork!$B$4:$B$6</c:f>
              <c:strCache>
                <c:ptCount val="3"/>
                <c:pt idx="0">
                  <c:v>SAIL land(m³)</c:v>
                </c:pt>
                <c:pt idx="1">
                  <c:v>RAIL Land(m³)</c:v>
                </c:pt>
                <c:pt idx="2">
                  <c:v>Total Land(m³)</c:v>
                </c:pt>
              </c:strCache>
            </c:strRef>
          </c:cat>
          <c:val>
            <c:numRef>
              <c:f>Earthwork!$D$4:$D$6</c:f>
              <c:numCache>
                <c:formatCode>_(* #,##0.00_);_(* \(#,##0.00\);_(* "-"??_);_(@_)</c:formatCode>
                <c:ptCount val="3"/>
                <c:pt idx="0">
                  <c:v>245000</c:v>
                </c:pt>
                <c:pt idx="1">
                  <c:v>905000</c:v>
                </c:pt>
                <c:pt idx="2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2-46C4-A712-AAAF78AB76CD}"/>
            </c:ext>
          </c:extLst>
        </c:ser>
        <c:ser>
          <c:idx val="1"/>
          <c:order val="1"/>
          <c:tx>
            <c:strRef>
              <c:f>Earthwork!$E$2:$E$3</c:f>
              <c:strCache>
                <c:ptCount val="2"/>
                <c:pt idx="0">
                  <c:v>Executed Qty till Progress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Earthwork!$B$4:$B$6</c:f>
              <c:strCache>
                <c:ptCount val="3"/>
                <c:pt idx="0">
                  <c:v>SAIL land(m³)</c:v>
                </c:pt>
                <c:pt idx="1">
                  <c:v>RAIL Land(m³)</c:v>
                </c:pt>
                <c:pt idx="2">
                  <c:v>Total Land(m³)</c:v>
                </c:pt>
              </c:strCache>
            </c:strRef>
          </c:cat>
          <c:val>
            <c:numRef>
              <c:f>Earthwork!$E$4:$E$6</c:f>
              <c:numCache>
                <c:formatCode>_(* #,##0.00_);_(* \(#,##0.00\);_(* "-"??_);_(@_)</c:formatCode>
                <c:ptCount val="3"/>
                <c:pt idx="0">
                  <c:v>190000</c:v>
                </c:pt>
                <c:pt idx="1">
                  <c:v>0</c:v>
                </c:pt>
                <c:pt idx="2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2-46C4-A712-AAAF78AB76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8700608"/>
        <c:axId val="718685248"/>
      </c:barChart>
      <c:catAx>
        <c:axId val="7187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85248"/>
        <c:crosses val="autoZero"/>
        <c:auto val="1"/>
        <c:lblAlgn val="ctr"/>
        <c:lblOffset val="100"/>
        <c:noMultiLvlLbl val="0"/>
      </c:catAx>
      <c:valAx>
        <c:axId val="7186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ROB-BR-3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323769176550634"/>
          <c:y val="0.12011694232000904"/>
          <c:w val="0.66162573865712448"/>
          <c:h val="0.662817918095166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CV1_ROB!$D$2</c:f>
              <c:strCache>
                <c:ptCount val="1"/>
                <c:pt idx="0">
                  <c:v>  Scope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CV1_ROB!$B$10:$B$14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CV1_ROB!$D$10:$D$14</c:f>
              <c:numCache>
                <c:formatCode>_(* #,##0.00_);_(* \(#,##0.00\);_(* "-"??_);_(@_)</c:formatCode>
                <c:ptCount val="5"/>
                <c:pt idx="0">
                  <c:v>3481</c:v>
                </c:pt>
                <c:pt idx="1">
                  <c:v>118</c:v>
                </c:pt>
                <c:pt idx="2">
                  <c:v>2788</c:v>
                </c:pt>
                <c:pt idx="3">
                  <c:v>192</c:v>
                </c:pt>
                <c:pt idx="4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4-4611-B021-05C77CC4C264}"/>
            </c:ext>
          </c:extLst>
        </c:ser>
        <c:ser>
          <c:idx val="1"/>
          <c:order val="1"/>
          <c:tx>
            <c:strRef>
              <c:f>CV1_ROB!$G$2</c:f>
              <c:strCache>
                <c:ptCount val="1"/>
                <c:pt idx="0">
                  <c:v> Cum.Executed Qty till Progress date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CV1_ROB!$B$10:$B$14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CV1_ROB!$G$10:$G$14</c:f>
              <c:numCache>
                <c:formatCode>_(* #,##0.00_);_(* \(#,##0.00\);_(* "-"??_);_(@_)</c:formatCode>
                <c:ptCount val="5"/>
                <c:pt idx="0">
                  <c:v>3032</c:v>
                </c:pt>
                <c:pt idx="1">
                  <c:v>52</c:v>
                </c:pt>
                <c:pt idx="2">
                  <c:v>2566</c:v>
                </c:pt>
                <c:pt idx="3">
                  <c:v>138</c:v>
                </c:pt>
                <c:pt idx="4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4-4611-B021-05C77CC4C2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73310751"/>
        <c:axId val="573309791"/>
      </c:barChart>
      <c:catAx>
        <c:axId val="57331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09791"/>
        <c:crosses val="autoZero"/>
        <c:auto val="1"/>
        <c:lblAlgn val="ctr"/>
        <c:lblOffset val="100"/>
        <c:noMultiLvlLbl val="0"/>
      </c:catAx>
      <c:valAx>
        <c:axId val="57330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1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Culvert</a:t>
            </a:r>
            <a:r>
              <a:rPr lang="en-IN" b="1" baseline="0">
                <a:latin typeface="ADani regular"/>
              </a:rPr>
              <a:t> br-2A</a:t>
            </a:r>
            <a:endParaRPr lang="en-IN" b="1">
              <a:latin typeface="ADani regular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25492869502558"/>
          <c:y val="0.14823534877178673"/>
          <c:w val="0.818334246565665"/>
          <c:h val="0.66299449044522274"/>
        </c:manualLayout>
      </c:layout>
      <c:barChart>
        <c:barDir val="bar"/>
        <c:grouping val="clustered"/>
        <c:varyColors val="0"/>
        <c:ser>
          <c:idx val="0"/>
          <c:order val="0"/>
          <c:tx>
            <c:v>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CV1_ROB!$B$16:$B$20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CV1_ROB!$D$16:$D$20</c:f>
              <c:numCache>
                <c:formatCode>_(* #,##0.00_);_(* \(#,##0.00\);_(* "-"??_);_(@_)</c:formatCode>
                <c:ptCount val="5"/>
                <c:pt idx="0">
                  <c:v>1081</c:v>
                </c:pt>
                <c:pt idx="1">
                  <c:v>203</c:v>
                </c:pt>
                <c:pt idx="2">
                  <c:v>2035</c:v>
                </c:pt>
                <c:pt idx="3">
                  <c:v>72</c:v>
                </c:pt>
                <c:pt idx="4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F-4D87-A910-E0B99F093BFC}"/>
            </c:ext>
          </c:extLst>
        </c:ser>
        <c:ser>
          <c:idx val="1"/>
          <c:order val="1"/>
          <c:tx>
            <c:v>Executed Quantity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CV1_ROB!$B$16:$B$20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CV1_ROB!$G$16:$G$20</c:f>
              <c:numCache>
                <c:formatCode>_(* #,##0.00_);_(* \(#,##0.00\);_(* "-"??_);_(@_)</c:formatCode>
                <c:ptCount val="5"/>
                <c:pt idx="0">
                  <c:v>1081</c:v>
                </c:pt>
                <c:pt idx="1">
                  <c:v>78</c:v>
                </c:pt>
                <c:pt idx="2">
                  <c:v>1954</c:v>
                </c:pt>
                <c:pt idx="3">
                  <c:v>70</c:v>
                </c:pt>
                <c:pt idx="4">
                  <c:v>692.25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F-4D87-A910-E0B99F093B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3647360"/>
        <c:axId val="1523656000"/>
      </c:barChart>
      <c:catAx>
        <c:axId val="1523647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656000"/>
        <c:crosses val="autoZero"/>
        <c:auto val="1"/>
        <c:lblAlgn val="ctr"/>
        <c:lblOffset val="100"/>
        <c:noMultiLvlLbl val="0"/>
      </c:catAx>
      <c:valAx>
        <c:axId val="152365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6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BR-1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CV1_ROB!$B$4:$B$8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CV1_ROB!$D$4:$D$8</c:f>
              <c:numCache>
                <c:formatCode>_(* #,##0.00_);_(* \(#,##0.00\);_(* "-"??_);_(@_)</c:formatCode>
                <c:ptCount val="5"/>
                <c:pt idx="0">
                  <c:v>1213</c:v>
                </c:pt>
                <c:pt idx="1">
                  <c:v>51</c:v>
                </c:pt>
                <c:pt idx="2">
                  <c:v>1551</c:v>
                </c:pt>
                <c:pt idx="3">
                  <c:v>111</c:v>
                </c:pt>
                <c:pt idx="4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9-4C86-B721-FD96A54875EA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CV1_ROB!$B$4:$B$8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CV1_ROB!$G$4:$G$8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C69-4C86-B721-FD96A54875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8340352"/>
        <c:axId val="638349472"/>
      </c:barChart>
      <c:catAx>
        <c:axId val="63834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49472"/>
        <c:crosses val="autoZero"/>
        <c:auto val="1"/>
        <c:lblAlgn val="ctr"/>
        <c:lblOffset val="100"/>
        <c:noMultiLvlLbl val="0"/>
      </c:catAx>
      <c:valAx>
        <c:axId val="63834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4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Bridge-184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CV1_ROB!$B$28:$B$32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CV1_ROB!$D$28:$D$32</c:f>
              <c:numCache>
                <c:formatCode>_(* #,##0.00_);_(* \(#,##0.00\);_(* "-"??_);_(@_)</c:formatCode>
                <c:ptCount val="5"/>
                <c:pt idx="0">
                  <c:v>555</c:v>
                </c:pt>
                <c:pt idx="1">
                  <c:v>76</c:v>
                </c:pt>
                <c:pt idx="2">
                  <c:v>841</c:v>
                </c:pt>
                <c:pt idx="3">
                  <c:v>18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9-4C8C-A777-90F0839A27F1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CV1_ROB!$B$28:$B$32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CV1_ROB!$G$28:$G$32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6339-4C8C-A777-90F0839A27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2240528"/>
        <c:axId val="712231888"/>
      </c:barChart>
      <c:catAx>
        <c:axId val="71224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31888"/>
        <c:crosses val="autoZero"/>
        <c:auto val="1"/>
        <c:lblAlgn val="ctr"/>
        <c:lblOffset val="100"/>
        <c:noMultiLvlLbl val="0"/>
      </c:catAx>
      <c:valAx>
        <c:axId val="71223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4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Bridge-185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CV1_ROB!$B$34:$B$38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CV1_ROB!$D$34:$D$38</c:f>
              <c:numCache>
                <c:formatCode>_(* #,##0.00_);_(* \(#,##0.00\);_(* "-"??_);_(@_)</c:formatCode>
                <c:ptCount val="5"/>
                <c:pt idx="0">
                  <c:v>466</c:v>
                </c:pt>
                <c:pt idx="1">
                  <c:v>23.3</c:v>
                </c:pt>
                <c:pt idx="2">
                  <c:v>582.5</c:v>
                </c:pt>
                <c:pt idx="3">
                  <c:v>27.959999999999997</c:v>
                </c:pt>
                <c:pt idx="4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A-4848-B832-C2B0958DA180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CV1_ROB!$B$34:$B$38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CV1_ROB!$G$34:$G$38</c:f>
              <c:numCache>
                <c:formatCode>_(* #,##0.00_);_(* \(#,##0.00\);_(* "-"??_);_(@_)</c:formatCode>
                <c:ptCount val="5"/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A-4848-B832-C2B0958DA1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6362176"/>
        <c:axId val="696361216"/>
      </c:barChart>
      <c:catAx>
        <c:axId val="69636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1216"/>
        <c:crosses val="autoZero"/>
        <c:auto val="1"/>
        <c:lblAlgn val="ctr"/>
        <c:lblOffset val="100"/>
        <c:noMultiLvlLbl val="0"/>
      </c:catAx>
      <c:valAx>
        <c:axId val="69636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6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FOB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CV1_ROB!$B$40:$B$44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CV1_ROB!$D$40:$D$44</c:f>
              <c:numCache>
                <c:formatCode>_(* #,##0.00_);_(* \(#,##0.00\);_(* "-"??_);_(@_)</c:formatCode>
                <c:ptCount val="5"/>
                <c:pt idx="0">
                  <c:v>55</c:v>
                </c:pt>
                <c:pt idx="1">
                  <c:v>3</c:v>
                </c:pt>
                <c:pt idx="2">
                  <c:v>70</c:v>
                </c:pt>
                <c:pt idx="3">
                  <c:v>5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184-9304-0F3B45053A2E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CV1_ROB!$B$40:$B$44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CV1_ROB!$G$40:$G$44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0C21-4184-9304-0F3B4505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8999312"/>
        <c:axId val="658999792"/>
      </c:barChart>
      <c:catAx>
        <c:axId val="65899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99792"/>
        <c:crosses val="autoZero"/>
        <c:auto val="1"/>
        <c:lblAlgn val="ctr"/>
        <c:lblOffset val="100"/>
        <c:noMultiLvlLbl val="0"/>
      </c:catAx>
      <c:valAx>
        <c:axId val="65899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Culvert br-2B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CV1_ROB!$B$22:$B$26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CV1_ROB!$D$22:$D$26</c:f>
              <c:numCache>
                <c:formatCode>_(* #,##0.00_);_(* \(#,##0.00\);_(* "-"??_);_(@_)</c:formatCode>
                <c:ptCount val="5"/>
                <c:pt idx="0">
                  <c:v>1357</c:v>
                </c:pt>
                <c:pt idx="1">
                  <c:v>128</c:v>
                </c:pt>
                <c:pt idx="2">
                  <c:v>1209</c:v>
                </c:pt>
                <c:pt idx="3">
                  <c:v>89</c:v>
                </c:pt>
                <c:pt idx="4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E-4861-B53F-8DA242020FE0}"/>
            </c:ext>
          </c:extLst>
        </c:ser>
        <c:ser>
          <c:idx val="1"/>
          <c:order val="1"/>
          <c:tx>
            <c:v>Cumulative Exectued QTY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CV1_ROB!$B$22:$B$26</c:f>
              <c:strCache>
                <c:ptCount val="5"/>
                <c:pt idx="0">
                  <c:v> Excavation(m³) </c:v>
                </c:pt>
                <c:pt idx="1">
                  <c:v> PCC(m³) </c:v>
                </c:pt>
                <c:pt idx="2">
                  <c:v> Formwork(m²) </c:v>
                </c:pt>
                <c:pt idx="3">
                  <c:v> Reinforcement Work(Ton) </c:v>
                </c:pt>
                <c:pt idx="4">
                  <c:v> RCC(m³) </c:v>
                </c:pt>
              </c:strCache>
            </c:strRef>
          </c:cat>
          <c:val>
            <c:numRef>
              <c:f>CV1_ROB!$G$22:$G$26</c:f>
              <c:numCache>
                <c:formatCode>_(* #,##0.00_);_(* \(#,##0.00\);_(* "-"??_);_(@_)</c:formatCode>
                <c:ptCount val="5"/>
                <c:pt idx="0">
                  <c:v>1357</c:v>
                </c:pt>
                <c:pt idx="1">
                  <c:v>43</c:v>
                </c:pt>
                <c:pt idx="2">
                  <c:v>1162</c:v>
                </c:pt>
                <c:pt idx="3">
                  <c:v>80</c:v>
                </c:pt>
                <c:pt idx="4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4E-4861-B53F-8DA242020FE0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5090335"/>
        <c:axId val="1625078815"/>
      </c:barChart>
      <c:catAx>
        <c:axId val="162509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078815"/>
        <c:crosses val="autoZero"/>
        <c:auto val="1"/>
        <c:lblAlgn val="ctr"/>
        <c:lblOffset val="100"/>
        <c:noMultiLvlLbl val="0"/>
      </c:catAx>
      <c:valAx>
        <c:axId val="162507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0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ani regular"/>
                <a:ea typeface="+mn-ea"/>
                <a:cs typeface="+mn-cs"/>
              </a:defRPr>
            </a:pPr>
            <a:r>
              <a:rPr lang="en-IN" b="1">
                <a:latin typeface="ADani regular"/>
                <a:cs typeface="72 Black" panose="020B0A04030603020204" pitchFamily="34" charset="0"/>
              </a:rPr>
              <a:t>Station Building</a:t>
            </a:r>
          </a:p>
          <a:p>
            <a:pPr>
              <a:defRPr>
                <a:latin typeface="ADani regular"/>
              </a:defRPr>
            </a:pPr>
            <a:endParaRPr lang="en-IN" b="1">
              <a:latin typeface="ADani regular"/>
              <a:cs typeface="72 Black" panose="020B0A04030603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ani regular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CV2_Infra!$D$2:$D$3</c:f>
              <c:strCache>
                <c:ptCount val="2"/>
                <c:pt idx="0">
                  <c:v>  Scope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CV2_Infra!$B$4:$B$8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CV2_Infra!$D$4:$D$8</c:f>
              <c:numCache>
                <c:formatCode>_(* #,##0.00_);_(* \(#,##0.00\);_(* "-"??_);_(@_)</c:formatCode>
                <c:ptCount val="5"/>
                <c:pt idx="0">
                  <c:v>65.794531687499997</c:v>
                </c:pt>
                <c:pt idx="1">
                  <c:v>83.714169499999983</c:v>
                </c:pt>
                <c:pt idx="2">
                  <c:v>403.61665000000005</c:v>
                </c:pt>
                <c:pt idx="3">
                  <c:v>186</c:v>
                </c:pt>
                <c:pt idx="4">
                  <c:v>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1-48AF-A429-BA2A139CD26C}"/>
            </c:ext>
          </c:extLst>
        </c:ser>
        <c:ser>
          <c:idx val="1"/>
          <c:order val="1"/>
          <c:tx>
            <c:strRef>
              <c:f>CV2_Infra!$E$2:$E$3</c:f>
              <c:strCache>
                <c:ptCount val="2"/>
                <c:pt idx="0">
                  <c:v> Cum.Executed Qty till Progress date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CV2_Infra!$B$4:$B$8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CV2_Infra!$E$4:$E$8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3501-48AF-A429-BA2A139CD2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5317792"/>
        <c:axId val="1375318272"/>
      </c:barChart>
      <c:catAx>
        <c:axId val="1375317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5318272"/>
        <c:crosses val="autoZero"/>
        <c:auto val="1"/>
        <c:lblAlgn val="ctr"/>
        <c:lblOffset val="100"/>
        <c:noMultiLvlLbl val="0"/>
      </c:catAx>
      <c:valAx>
        <c:axId val="137531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1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End Goomty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CV2_Infra!$B$10:$B$14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CV2_Infra!$D$10:$D$14</c:f>
              <c:numCache>
                <c:formatCode>_(* #,##0.00_);_(* \(#,##0.00\);_(* "-"??_);_(@_)</c:formatCode>
                <c:ptCount val="5"/>
                <c:pt idx="0">
                  <c:v>106.69150799999998</c:v>
                </c:pt>
                <c:pt idx="1">
                  <c:v>83.14553500000001</c:v>
                </c:pt>
                <c:pt idx="2">
                  <c:v>655.11446000000001</c:v>
                </c:pt>
                <c:pt idx="3">
                  <c:v>187</c:v>
                </c:pt>
                <c:pt idx="4">
                  <c:v>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8-4F8B-BA74-252647E0B343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CV2_Infra!$B$10:$B$14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CV2_Infra!$E$10:$E$14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048-4F8B-BA74-252647E0B3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6337152"/>
        <c:axId val="516338112"/>
      </c:barChart>
      <c:catAx>
        <c:axId val="51633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38112"/>
        <c:crosses val="autoZero"/>
        <c:auto val="1"/>
        <c:lblAlgn val="ctr"/>
        <c:lblOffset val="100"/>
        <c:noMultiLvlLbl val="0"/>
      </c:catAx>
      <c:valAx>
        <c:axId val="51633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3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Type-1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CV2_Infra!$B$16:$B$20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CV2_Infra!$D$16:$D$20</c:f>
              <c:numCache>
                <c:formatCode>_(* #,##0.00_);_(* \(#,##0.00\);_(* "-"??_);_(@_)</c:formatCode>
                <c:ptCount val="5"/>
                <c:pt idx="0">
                  <c:v>286.89478125000005</c:v>
                </c:pt>
                <c:pt idx="1">
                  <c:v>287.19565359374997</c:v>
                </c:pt>
                <c:pt idx="2">
                  <c:v>2893.37</c:v>
                </c:pt>
                <c:pt idx="3">
                  <c:v>301</c:v>
                </c:pt>
                <c:pt idx="4">
                  <c:v>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D-4083-8885-4075C1179737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CV2_Infra!$B$16:$B$20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CV2_Infra!$E$16:$E$20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481D-4083-8885-4075C11797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1189920"/>
        <c:axId val="531206720"/>
      </c:barChart>
      <c:catAx>
        <c:axId val="53118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06720"/>
        <c:crosses val="autoZero"/>
        <c:auto val="1"/>
        <c:lblAlgn val="ctr"/>
        <c:lblOffset val="100"/>
        <c:noMultiLvlLbl val="0"/>
      </c:catAx>
      <c:valAx>
        <c:axId val="5312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1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Type-2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CV2_Infra!$B$22:$B$26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CV2_Infra!$D$22:$D$26</c:f>
              <c:numCache>
                <c:formatCode>_(* #,##0.00_);_(* \(#,##0.00\);_(* "-"??_);_(@_)</c:formatCode>
                <c:ptCount val="5"/>
                <c:pt idx="0">
                  <c:v>229.51582500000004</c:v>
                </c:pt>
                <c:pt idx="1">
                  <c:v>229.76</c:v>
                </c:pt>
                <c:pt idx="2">
                  <c:v>2314</c:v>
                </c:pt>
                <c:pt idx="3">
                  <c:v>241</c:v>
                </c:pt>
                <c:pt idx="4">
                  <c:v>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1-4432-B2EF-8C97B4F45D5D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CV2_Infra!$B$22:$B$26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CV2_Infra!$E$22:$E$26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0D1-4432-B2EF-8C97B4F45D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7102656"/>
        <c:axId val="527102176"/>
      </c:barChart>
      <c:catAx>
        <c:axId val="52710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02176"/>
        <c:crosses val="autoZero"/>
        <c:auto val="1"/>
        <c:lblAlgn val="ctr"/>
        <c:lblOffset val="100"/>
        <c:noMultiLvlLbl val="0"/>
      </c:catAx>
      <c:valAx>
        <c:axId val="52710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Type-3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CV2_Infra!$B$28:$B$32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CV2_Infra!$D$28:$D$32</c:f>
              <c:numCache>
                <c:formatCode>_(* #,##0.00_);_(* \(#,##0.00\);_(* "-"??_);_(@_)</c:formatCode>
                <c:ptCount val="5"/>
                <c:pt idx="0">
                  <c:v>231.11707500000003</c:v>
                </c:pt>
                <c:pt idx="1">
                  <c:v>158.04330937500001</c:v>
                </c:pt>
                <c:pt idx="2">
                  <c:v>1645</c:v>
                </c:pt>
                <c:pt idx="3">
                  <c:v>119</c:v>
                </c:pt>
                <c:pt idx="4">
                  <c:v>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6E8-B705-457831DF6BB3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CV2_Infra!$B$28:$B$32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CV2_Infra!$E$28:$E$32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AA0-46E8-B705-457831DF6B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2978912"/>
        <c:axId val="662988992"/>
      </c:barChart>
      <c:catAx>
        <c:axId val="66297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8992"/>
        <c:crosses val="autoZero"/>
        <c:auto val="1"/>
        <c:lblAlgn val="ctr"/>
        <c:lblOffset val="100"/>
        <c:noMultiLvlLbl val="0"/>
      </c:catAx>
      <c:valAx>
        <c:axId val="6629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Rest 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CV2_Infra!$B$34:$B$38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CV2_Infra!$D$34:$D$38</c:f>
              <c:numCache>
                <c:formatCode>_(* #,##0.00_);_(* \(#,##0.00\);_(* "-"??_);_(@_)</c:formatCode>
                <c:ptCount val="5"/>
                <c:pt idx="0">
                  <c:v>24.793114500000001</c:v>
                </c:pt>
                <c:pt idx="1">
                  <c:v>18.946189500000003</c:v>
                </c:pt>
                <c:pt idx="2">
                  <c:v>148</c:v>
                </c:pt>
                <c:pt idx="3">
                  <c:v>43</c:v>
                </c:pt>
                <c:pt idx="4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E-4AF1-96F6-A379B66283DC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CV2_Infra!$B$34:$B$38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CV2_Infra!$E$34:$E$38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444E-4AF1-96F6-A379B66283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1264800"/>
        <c:axId val="531267200"/>
      </c:barChart>
      <c:catAx>
        <c:axId val="53126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67200"/>
        <c:crosses val="autoZero"/>
        <c:auto val="1"/>
        <c:lblAlgn val="ctr"/>
        <c:lblOffset val="100"/>
        <c:noMultiLvlLbl val="0"/>
      </c:catAx>
      <c:valAx>
        <c:axId val="53126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6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SSE PWAY office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 Scope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CV2_Infra!$B$40:$B$44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CV2_Infra!$D$40:$D$44</c:f>
              <c:numCache>
                <c:formatCode>_(* #,##0.00_);_(* \(#,##0.00\);_(* "-"??_);_(@_)</c:formatCode>
                <c:ptCount val="5"/>
                <c:pt idx="0">
                  <c:v>57.142800000000008</c:v>
                </c:pt>
                <c:pt idx="1">
                  <c:v>82.375576250000009</c:v>
                </c:pt>
                <c:pt idx="2">
                  <c:v>559</c:v>
                </c:pt>
                <c:pt idx="3">
                  <c:v>148</c:v>
                </c:pt>
                <c:pt idx="4">
                  <c:v>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C-4492-89F7-9AD9B2E7195D}"/>
            </c:ext>
          </c:extLst>
        </c:ser>
        <c:ser>
          <c:idx val="1"/>
          <c:order val="1"/>
          <c:tx>
            <c:v>Cum.Executed Qty till Progress date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CV2_Infra!$B$40:$B$44</c:f>
              <c:strCache>
                <c:ptCount val="5"/>
                <c:pt idx="0">
                  <c:v> Excavation(m³) </c:v>
                </c:pt>
                <c:pt idx="1">
                  <c:v> RCC(m³) </c:v>
                </c:pt>
                <c:pt idx="2">
                  <c:v> Formwork(m²) </c:v>
                </c:pt>
                <c:pt idx="3">
                  <c:v> Brick work(m³) </c:v>
                </c:pt>
                <c:pt idx="4">
                  <c:v> Finishing(m²) </c:v>
                </c:pt>
              </c:strCache>
            </c:strRef>
          </c:cat>
          <c:val>
            <c:numRef>
              <c:f>CV2_Infra!$E$40:$E$44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B72C-4492-89F7-9AD9B2E719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6544288"/>
        <c:axId val="696553888"/>
      </c:barChart>
      <c:catAx>
        <c:axId val="69654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53888"/>
        <c:crosses val="autoZero"/>
        <c:auto val="1"/>
        <c:lblAlgn val="ctr"/>
        <c:lblOffset val="100"/>
        <c:noMultiLvlLbl val="0"/>
      </c:catAx>
      <c:valAx>
        <c:axId val="69655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72 Black" panose="020B0A04030603020204" pitchFamily="34" charset="0"/>
                <a:cs typeface="72 Black" panose="020B0A04030603020204" pitchFamily="34" charset="0"/>
              </a:rPr>
              <a:t>PWAY TRACK</a:t>
            </a:r>
          </a:p>
        </c:rich>
      </c:tx>
      <c:layout>
        <c:manualLayout>
          <c:xMode val="edge"/>
          <c:yMode val="edge"/>
          <c:x val="0.43398714445441355"/>
          <c:y val="1.7175658980671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49869144813418"/>
          <c:y val="0.14707459669919526"/>
          <c:w val="0.71416797900262463"/>
          <c:h val="0.670539880431612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CV3_Pway!$D$2:$D$3</c:f>
              <c:strCache>
                <c:ptCount val="2"/>
                <c:pt idx="0">
                  <c:v>  Scope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CV3_Pway!$B$4:$B$8</c:f>
              <c:strCache>
                <c:ptCount val="5"/>
                <c:pt idx="0">
                  <c:v> Blanketing(m³) </c:v>
                </c:pt>
                <c:pt idx="1">
                  <c:v> Ballasting(m³) </c:v>
                </c:pt>
                <c:pt idx="2">
                  <c:v> Sleeper(nos.) </c:v>
                </c:pt>
                <c:pt idx="3">
                  <c:v> Track Linking(m) </c:v>
                </c:pt>
                <c:pt idx="4">
                  <c:v> Point &amp; crossing(set) </c:v>
                </c:pt>
              </c:strCache>
            </c:strRef>
          </c:cat>
          <c:val>
            <c:numRef>
              <c:f>CV3_Pway!$D$4:$D$8</c:f>
              <c:numCache>
                <c:formatCode>_(* #,##0.00_);_(* \(#,##0.00\);_(* "-"??_);_(@_)</c:formatCode>
                <c:ptCount val="5"/>
                <c:pt idx="0">
                  <c:v>49980</c:v>
                </c:pt>
                <c:pt idx="1">
                  <c:v>23034</c:v>
                </c:pt>
                <c:pt idx="2">
                  <c:v>17060</c:v>
                </c:pt>
                <c:pt idx="3">
                  <c:v>10270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C-4523-9B77-60E8430FA269}"/>
            </c:ext>
          </c:extLst>
        </c:ser>
        <c:ser>
          <c:idx val="1"/>
          <c:order val="1"/>
          <c:tx>
            <c:strRef>
              <c:f>CV3_Pway!$E$2:$E$3</c:f>
              <c:strCache>
                <c:ptCount val="2"/>
                <c:pt idx="0">
                  <c:v> Executed Qty till Progress date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CV3_Pway!$B$4:$B$8</c:f>
              <c:strCache>
                <c:ptCount val="5"/>
                <c:pt idx="0">
                  <c:v> Blanketing(m³) </c:v>
                </c:pt>
                <c:pt idx="1">
                  <c:v> Ballasting(m³) </c:v>
                </c:pt>
                <c:pt idx="2">
                  <c:v> Sleeper(nos.) </c:v>
                </c:pt>
                <c:pt idx="3">
                  <c:v> Track Linking(m) </c:v>
                </c:pt>
                <c:pt idx="4">
                  <c:v> Point &amp; crossing(set) </c:v>
                </c:pt>
              </c:strCache>
            </c:strRef>
          </c:cat>
          <c:val>
            <c:numRef>
              <c:f>CV3_Pway!$E$4:$E$8</c:f>
              <c:numCache>
                <c:formatCode>_(* #,##0.00_);_(* \(#,##0.00\);_(*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FCC-4523-9B77-60E8430FA2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1369008"/>
        <c:axId val="1131366608"/>
      </c:barChart>
      <c:catAx>
        <c:axId val="113136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6608"/>
        <c:crosses val="autoZero"/>
        <c:auto val="1"/>
        <c:lblAlgn val="ctr"/>
        <c:lblOffset val="100"/>
        <c:noMultiLvlLbl val="0"/>
      </c:catAx>
      <c:valAx>
        <c:axId val="11313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Dani regular"/>
              </a:rPr>
              <a:t>Earthwork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Earthwork!$D$2:$D$3</c:f>
              <c:strCache>
                <c:ptCount val="2"/>
                <c:pt idx="0">
                  <c:v> Scope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Earthwork!$B$4:$B$6</c:f>
              <c:strCache>
                <c:ptCount val="3"/>
                <c:pt idx="0">
                  <c:v>SAIL land(m³)</c:v>
                </c:pt>
                <c:pt idx="1">
                  <c:v>RAIL Land(m³)</c:v>
                </c:pt>
                <c:pt idx="2">
                  <c:v>Total Land(m³)</c:v>
                </c:pt>
              </c:strCache>
            </c:strRef>
          </c:cat>
          <c:val>
            <c:numRef>
              <c:f>Earthwork!$D$4:$D$6</c:f>
              <c:numCache>
                <c:formatCode>_(* #,##0.00_);_(* \(#,##0.00\);_(* "-"??_);_(@_)</c:formatCode>
                <c:ptCount val="3"/>
                <c:pt idx="0">
                  <c:v>245000</c:v>
                </c:pt>
                <c:pt idx="1">
                  <c:v>905000</c:v>
                </c:pt>
                <c:pt idx="2">
                  <c:v>1150000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21F-8C4B-4B8EACD1B93B}"/>
            </c:ext>
          </c:extLst>
        </c:ser>
        <c:ser>
          <c:idx val="1"/>
          <c:order val="1"/>
          <c:tx>
            <c:strRef>
              <c:f>Earthwork!$E$2:$E$3</c:f>
              <c:strCache>
                <c:ptCount val="2"/>
                <c:pt idx="0">
                  <c:v>Executed Qty till Progress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Earthwork!$B$4:$B$6</c:f>
              <c:strCache>
                <c:ptCount val="3"/>
                <c:pt idx="0">
                  <c:v>SAIL land(m³)</c:v>
                </c:pt>
                <c:pt idx="1">
                  <c:v>RAIL Land(m³)</c:v>
                </c:pt>
                <c:pt idx="2">
                  <c:v>Total Land(m³)</c:v>
                </c:pt>
              </c:strCache>
            </c:strRef>
          </c:cat>
          <c:val>
            <c:numRef>
              <c:f>Earthwork!$E$4:$E$6</c:f>
              <c:numCache>
                <c:formatCode>_(* #,##0.00_);_(* \(#,##0.00\);_(* "-"??_);_(@_)</c:formatCode>
                <c:ptCount val="3"/>
                <c:pt idx="0">
                  <c:v>190000</c:v>
                </c:pt>
                <c:pt idx="1">
                  <c:v>0</c:v>
                </c:pt>
                <c:pt idx="2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B-421F-8C4B-4B8EACD1B9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8700608"/>
        <c:axId val="718685248"/>
      </c:barChart>
      <c:catAx>
        <c:axId val="7187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85248"/>
        <c:crosses val="autoZero"/>
        <c:auto val="1"/>
        <c:lblAlgn val="ctr"/>
        <c:lblOffset val="100"/>
        <c:noMultiLvlLbl val="0"/>
      </c:catAx>
      <c:valAx>
        <c:axId val="7186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20410</xdr:colOff>
      <xdr:row>0</xdr:row>
      <xdr:rowOff>0</xdr:rowOff>
    </xdr:from>
    <xdr:to>
      <xdr:col>15</xdr:col>
      <xdr:colOff>306160</xdr:colOff>
      <xdr:row>18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7F35A-B7EA-88CF-2EC4-DC83E0242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270711</xdr:colOff>
      <xdr:row>0</xdr:row>
      <xdr:rowOff>0</xdr:rowOff>
    </xdr:from>
    <xdr:to>
      <xdr:col>23</xdr:col>
      <xdr:colOff>30079</xdr:colOff>
      <xdr:row>18</xdr:row>
      <xdr:rowOff>150395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704363-184F-527F-BD9E-C0C6FAA3B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</xdr:colOff>
      <xdr:row>0</xdr:row>
      <xdr:rowOff>0</xdr:rowOff>
    </xdr:from>
    <xdr:to>
      <xdr:col>31</xdr:col>
      <xdr:colOff>572139</xdr:colOff>
      <xdr:row>18</xdr:row>
      <xdr:rowOff>113009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584420-2859-4DAD-9098-04ADC838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581187</xdr:colOff>
      <xdr:row>0</xdr:row>
      <xdr:rowOff>0</xdr:rowOff>
    </xdr:from>
    <xdr:to>
      <xdr:col>41</xdr:col>
      <xdr:colOff>55058</xdr:colOff>
      <xdr:row>18</xdr:row>
      <xdr:rowOff>48432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8EBF97-A0C9-404F-A588-BBC28AA20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340455</xdr:colOff>
      <xdr:row>0</xdr:row>
      <xdr:rowOff>1</xdr:rowOff>
    </xdr:from>
    <xdr:to>
      <xdr:col>27</xdr:col>
      <xdr:colOff>190500</xdr:colOff>
      <xdr:row>13</xdr:row>
      <xdr:rowOff>142876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DD88D05B-CBAA-E15B-99A4-9BDFDFEC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12847</xdr:colOff>
      <xdr:row>13</xdr:row>
      <xdr:rowOff>167724</xdr:rowOff>
    </xdr:from>
    <xdr:to>
      <xdr:col>18</xdr:col>
      <xdr:colOff>401053</xdr:colOff>
      <xdr:row>29</xdr:row>
      <xdr:rowOff>97168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27C89E-27DA-6E31-A3CD-CB53704AE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35270</xdr:colOff>
      <xdr:row>0</xdr:row>
      <xdr:rowOff>0</xdr:rowOff>
    </xdr:from>
    <xdr:to>
      <xdr:col>18</xdr:col>
      <xdr:colOff>378851</xdr:colOff>
      <xdr:row>14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83A9DF-A55A-2D7C-6CB4-BCAB96782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210733</xdr:colOff>
      <xdr:row>0</xdr:row>
      <xdr:rowOff>0</xdr:rowOff>
    </xdr:from>
    <xdr:to>
      <xdr:col>34</xdr:col>
      <xdr:colOff>588689</xdr:colOff>
      <xdr:row>13</xdr:row>
      <xdr:rowOff>125328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9CD2D0-2B7B-FC9C-F03C-C45BF5CFD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225951</xdr:colOff>
      <xdr:row>13</xdr:row>
      <xdr:rowOff>132793</xdr:rowOff>
    </xdr:from>
    <xdr:to>
      <xdr:col>35</xdr:col>
      <xdr:colOff>2328</xdr:colOff>
      <xdr:row>29</xdr:row>
      <xdr:rowOff>50132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9F057B-936A-5F81-0FC7-ADE8044FA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401042</xdr:colOff>
      <xdr:row>29</xdr:row>
      <xdr:rowOff>27376</xdr:rowOff>
    </xdr:from>
    <xdr:to>
      <xdr:col>27</xdr:col>
      <xdr:colOff>275722</xdr:colOff>
      <xdr:row>45</xdr:row>
      <xdr:rowOff>175461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C790D8-ADFE-BA34-A9F5-01E146A39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404586</xdr:colOff>
      <xdr:row>13</xdr:row>
      <xdr:rowOff>132442</xdr:rowOff>
    </xdr:from>
    <xdr:to>
      <xdr:col>27</xdr:col>
      <xdr:colOff>254000</xdr:colOff>
      <xdr:row>29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EADCD1-E059-FAA4-2E70-2F38D93BA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78395</xdr:colOff>
      <xdr:row>0</xdr:row>
      <xdr:rowOff>40222</xdr:rowOff>
    </xdr:from>
    <xdr:to>
      <xdr:col>15</xdr:col>
      <xdr:colOff>334709</xdr:colOff>
      <xdr:row>18</xdr:row>
      <xdr:rowOff>96149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B0DDA9B2-7A9F-4366-0260-C17ED4A38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315531</xdr:colOff>
      <xdr:row>0</xdr:row>
      <xdr:rowOff>16087</xdr:rowOff>
    </xdr:from>
    <xdr:to>
      <xdr:col>22</xdr:col>
      <xdr:colOff>594756</xdr:colOff>
      <xdr:row>17</xdr:row>
      <xdr:rowOff>168088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3ED4655D-008B-D46A-C384-4878DDA38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50348</xdr:colOff>
      <xdr:row>18</xdr:row>
      <xdr:rowOff>25298</xdr:rowOff>
    </xdr:from>
    <xdr:to>
      <xdr:col>15</xdr:col>
      <xdr:colOff>329574</xdr:colOff>
      <xdr:row>34</xdr:row>
      <xdr:rowOff>-1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DE9FFDD7-53F6-ED26-6C84-C9F652EA6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328577</xdr:colOff>
      <xdr:row>17</xdr:row>
      <xdr:rowOff>161531</xdr:rowOff>
    </xdr:from>
    <xdr:to>
      <xdr:col>22</xdr:col>
      <xdr:colOff>607802</xdr:colOff>
      <xdr:row>33</xdr:row>
      <xdr:rowOff>112058</xdr:rowOff>
    </xdr:to>
    <xdr:graphicFrame macro="">
      <xdr:nvGraphicFramePr>
        <xdr:cNvPr id="26" name="Chart 6">
          <a:extLst>
            <a:ext uri="{FF2B5EF4-FFF2-40B4-BE49-F238E27FC236}">
              <a16:creationId xmlns:a16="http://schemas.microsoft.com/office/drawing/2014/main" id="{F30AED68-9C0F-D7C8-B600-B68B78C89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607190</xdr:colOff>
      <xdr:row>0</xdr:row>
      <xdr:rowOff>8411</xdr:rowOff>
    </xdr:from>
    <xdr:to>
      <xdr:col>30</xdr:col>
      <xdr:colOff>84045</xdr:colOff>
      <xdr:row>17</xdr:row>
      <xdr:rowOff>112058</xdr:rowOff>
    </xdr:to>
    <xdr:graphicFrame macro="">
      <xdr:nvGraphicFramePr>
        <xdr:cNvPr id="29" name="Chart 7">
          <a:extLst>
            <a:ext uri="{FF2B5EF4-FFF2-40B4-BE49-F238E27FC236}">
              <a16:creationId xmlns:a16="http://schemas.microsoft.com/office/drawing/2014/main" id="{9B45C585-5E2D-4043-7EE5-029DD9D32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606106</xdr:colOff>
      <xdr:row>17</xdr:row>
      <xdr:rowOff>120470</xdr:rowOff>
    </xdr:from>
    <xdr:to>
      <xdr:col>30</xdr:col>
      <xdr:colOff>112059</xdr:colOff>
      <xdr:row>33</xdr:row>
      <xdr:rowOff>112059</xdr:rowOff>
    </xdr:to>
    <xdr:graphicFrame macro="">
      <xdr:nvGraphicFramePr>
        <xdr:cNvPr id="31" name="Chart 8">
          <a:extLst>
            <a:ext uri="{FF2B5EF4-FFF2-40B4-BE49-F238E27FC236}">
              <a16:creationId xmlns:a16="http://schemas.microsoft.com/office/drawing/2014/main" id="{954A2C63-670D-E43F-DF76-72C8EB1E5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</xdr:colOff>
      <xdr:row>33</xdr:row>
      <xdr:rowOff>110219</xdr:rowOff>
    </xdr:from>
    <xdr:to>
      <xdr:col>24</xdr:col>
      <xdr:colOff>308163</xdr:colOff>
      <xdr:row>51</xdr:row>
      <xdr:rowOff>56030</xdr:rowOff>
    </xdr:to>
    <xdr:graphicFrame macro="">
      <xdr:nvGraphicFramePr>
        <xdr:cNvPr id="34" name="Chart 9">
          <a:extLst>
            <a:ext uri="{FF2B5EF4-FFF2-40B4-BE49-F238E27FC236}">
              <a16:creationId xmlns:a16="http://schemas.microsoft.com/office/drawing/2014/main" id="{CB80CBB5-DD8C-5817-2D2E-3498CAD9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1195936</xdr:colOff>
      <xdr:row>8</xdr:row>
      <xdr:rowOff>47625</xdr:rowOff>
    </xdr:from>
    <xdr:to>
      <xdr:col>6</xdr:col>
      <xdr:colOff>44720</xdr:colOff>
      <xdr:row>31</xdr:row>
      <xdr:rowOff>160287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5C3FD-3B16-577A-0BB4-C55738735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775607</xdr:colOff>
      <xdr:row>6</xdr:row>
      <xdr:rowOff>141020</xdr:rowOff>
    </xdr:from>
    <xdr:to>
      <xdr:col>6</xdr:col>
      <xdr:colOff>421820</xdr:colOff>
      <xdr:row>24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BBC119-C99C-02C8-7079-C1EDD67AF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C624-BC24-45A8-A8C0-8284798B1152}">
  <dimension ref="A1:H30"/>
  <sheetViews>
    <sheetView tabSelected="1" zoomScale="114" zoomScaleNormal="67" workbookViewId="0">
      <selection activeCell="C50" sqref="C50"/>
    </sheetView>
  </sheetViews>
  <sheetFormatPr defaultRowHeight="14.4"/>
  <cols>
    <col min="1" max="1" width="18.88671875" customWidth="1"/>
    <col min="2" max="2" width="46" bestFit="1" customWidth="1"/>
    <col min="3" max="3" width="8.88671875" bestFit="1" customWidth="1"/>
    <col min="4" max="4" width="24.109375" style="99" bestFit="1" customWidth="1"/>
    <col min="5" max="5" width="24.5546875" bestFit="1" customWidth="1"/>
    <col min="6" max="6" width="22" bestFit="1" customWidth="1"/>
    <col min="7" max="7" width="32.88671875" bestFit="1" customWidth="1"/>
    <col min="8" max="8" width="70.5546875" bestFit="1" customWidth="1"/>
  </cols>
  <sheetData>
    <row r="1" spans="1:8" ht="21">
      <c r="A1" s="15" t="s">
        <v>0</v>
      </c>
      <c r="B1" s="14"/>
      <c r="C1" s="13"/>
      <c r="D1" s="12"/>
      <c r="E1" s="12"/>
      <c r="F1" s="12"/>
      <c r="G1" s="11" t="s">
        <v>1</v>
      </c>
      <c r="H1" s="10">
        <v>46188</v>
      </c>
    </row>
    <row r="2" spans="1:8" ht="52.2">
      <c r="A2" s="8" t="s">
        <v>2</v>
      </c>
      <c r="B2" s="8" t="s">
        <v>3</v>
      </c>
      <c r="C2" s="8" t="s">
        <v>4</v>
      </c>
      <c r="D2" s="7" t="s">
        <v>5</v>
      </c>
      <c r="E2" s="7" t="s">
        <v>6</v>
      </c>
      <c r="F2" s="7" t="s">
        <v>7</v>
      </c>
      <c r="G2" s="6" t="s">
        <v>8</v>
      </c>
      <c r="H2" s="6" t="s">
        <v>9</v>
      </c>
    </row>
    <row r="3" spans="1:8" ht="26.25" customHeight="1">
      <c r="A3" s="65" t="s">
        <v>10</v>
      </c>
      <c r="B3" s="65" t="s">
        <v>11</v>
      </c>
      <c r="C3" s="65"/>
      <c r="D3" s="94"/>
      <c r="E3" s="65"/>
      <c r="F3" s="65"/>
      <c r="G3" s="65"/>
      <c r="H3" s="3"/>
    </row>
    <row r="4" spans="1:8" ht="15.6">
      <c r="A4" s="66" t="s">
        <v>12</v>
      </c>
      <c r="B4" s="67" t="s">
        <v>13</v>
      </c>
      <c r="C4" s="59" t="s">
        <v>14</v>
      </c>
      <c r="D4" s="95">
        <f>CV1_ROB!D8</f>
        <v>841</v>
      </c>
      <c r="E4" s="59">
        <f>CV1_ROB!G8</f>
        <v>0</v>
      </c>
      <c r="F4" s="59">
        <f>D4-E4</f>
        <v>841</v>
      </c>
      <c r="G4" s="89">
        <f>E4/D4</f>
        <v>0</v>
      </c>
      <c r="H4" s="102"/>
    </row>
    <row r="5" spans="1:8" ht="15.6">
      <c r="A5" s="66" t="s">
        <v>15</v>
      </c>
      <c r="B5" s="67" t="s">
        <v>16</v>
      </c>
      <c r="C5" s="59" t="s">
        <v>14</v>
      </c>
      <c r="D5" s="95">
        <f>CV1_ROB!D14</f>
        <v>1550</v>
      </c>
      <c r="E5" s="59">
        <f>CV1_ROB!G14</f>
        <v>775</v>
      </c>
      <c r="F5" s="59">
        <f t="shared" ref="F5:F18" si="0">D5-E5</f>
        <v>775</v>
      </c>
      <c r="G5" s="89">
        <f t="shared" ref="G5:G28" si="1">E5/D5</f>
        <v>0.5</v>
      </c>
      <c r="H5" s="103"/>
    </row>
    <row r="6" spans="1:8" ht="15.6">
      <c r="A6" s="66" t="s">
        <v>17</v>
      </c>
      <c r="B6" s="67" t="s">
        <v>18</v>
      </c>
      <c r="C6" s="59" t="s">
        <v>14</v>
      </c>
      <c r="D6" s="95">
        <f>CV1_ROB!D20</f>
        <v>715</v>
      </c>
      <c r="E6" s="59">
        <f>CV1_ROB!G20</f>
        <v>692.25</v>
      </c>
      <c r="F6" s="59">
        <f t="shared" si="0"/>
        <v>22.75</v>
      </c>
      <c r="G6" s="89">
        <f t="shared" si="1"/>
        <v>0.96818181818181814</v>
      </c>
      <c r="H6" s="103"/>
    </row>
    <row r="7" spans="1:8" ht="15.6">
      <c r="A7" s="66" t="s">
        <v>19</v>
      </c>
      <c r="B7" s="67" t="s">
        <v>20</v>
      </c>
      <c r="C7" s="59" t="s">
        <v>14</v>
      </c>
      <c r="D7" s="95">
        <f>CV1_ROB!D26</f>
        <v>885</v>
      </c>
      <c r="E7" s="59">
        <f>CV1_ROB!G26</f>
        <v>624</v>
      </c>
      <c r="F7" s="59">
        <f t="shared" si="0"/>
        <v>261</v>
      </c>
      <c r="G7" s="89">
        <f t="shared" si="1"/>
        <v>0.70508474576271185</v>
      </c>
      <c r="H7" s="103"/>
    </row>
    <row r="8" spans="1:8" ht="15.6">
      <c r="A8" s="66" t="s">
        <v>21</v>
      </c>
      <c r="B8" s="67" t="s">
        <v>22</v>
      </c>
      <c r="C8" s="59" t="s">
        <v>14</v>
      </c>
      <c r="D8" s="95">
        <f>CV1_ROB!D32</f>
        <v>178</v>
      </c>
      <c r="E8" s="59">
        <f>CV1_ROB!G32</f>
        <v>0</v>
      </c>
      <c r="F8" s="59">
        <f t="shared" si="0"/>
        <v>178</v>
      </c>
      <c r="G8" s="89">
        <f t="shared" si="1"/>
        <v>0</v>
      </c>
      <c r="H8" s="103"/>
    </row>
    <row r="9" spans="1:8" ht="15.6">
      <c r="A9" s="66" t="s">
        <v>23</v>
      </c>
      <c r="B9" s="67" t="s">
        <v>24</v>
      </c>
      <c r="C9" s="59" t="s">
        <v>14</v>
      </c>
      <c r="D9" s="95">
        <v>233</v>
      </c>
      <c r="E9" s="59">
        <f>CV1_ROB!G38</f>
        <v>85</v>
      </c>
      <c r="F9" s="59">
        <f>CV1_ROB!G38</f>
        <v>85</v>
      </c>
      <c r="G9" s="89">
        <f t="shared" si="1"/>
        <v>0.36480686695278969</v>
      </c>
      <c r="H9" s="103"/>
    </row>
    <row r="10" spans="1:8" ht="15.6">
      <c r="A10" s="66" t="s">
        <v>25</v>
      </c>
      <c r="B10" s="67" t="s">
        <v>26</v>
      </c>
      <c r="C10" s="59" t="s">
        <v>14</v>
      </c>
      <c r="D10" s="95">
        <f>CV1_ROB!D44</f>
        <v>52</v>
      </c>
      <c r="E10" s="59">
        <f>CV1_ROB!G44</f>
        <v>0</v>
      </c>
      <c r="F10" s="59">
        <f t="shared" si="0"/>
        <v>52</v>
      </c>
      <c r="G10" s="89">
        <f t="shared" si="1"/>
        <v>0</v>
      </c>
      <c r="H10" s="104"/>
    </row>
    <row r="11" spans="1:8" ht="24.75" customHeight="1">
      <c r="A11" s="65" t="s">
        <v>27</v>
      </c>
      <c r="B11" s="65" t="s">
        <v>28</v>
      </c>
      <c r="C11" s="65"/>
      <c r="D11" s="94"/>
      <c r="E11" s="65"/>
      <c r="F11" s="65"/>
      <c r="G11" s="90"/>
      <c r="H11" s="3"/>
    </row>
    <row r="12" spans="1:8" ht="15.6">
      <c r="A12" s="66" t="s">
        <v>12</v>
      </c>
      <c r="B12" s="67" t="s">
        <v>29</v>
      </c>
      <c r="C12" s="59" t="s">
        <v>14</v>
      </c>
      <c r="D12" s="96">
        <f>CV2_Infra!D5</f>
        <v>83.714169499999983</v>
      </c>
      <c r="E12" s="59">
        <f>CV2_Infra!E5</f>
        <v>0</v>
      </c>
      <c r="F12" s="59">
        <f t="shared" si="0"/>
        <v>83.714169499999983</v>
      </c>
      <c r="G12" s="89">
        <f t="shared" si="1"/>
        <v>0</v>
      </c>
      <c r="H12" s="102"/>
    </row>
    <row r="13" spans="1:8" ht="15.6">
      <c r="A13" s="66" t="s">
        <v>15</v>
      </c>
      <c r="B13" s="67" t="s">
        <v>30</v>
      </c>
      <c r="C13" s="59" t="s">
        <v>14</v>
      </c>
      <c r="D13" s="96">
        <f>CV2_Infra!D11</f>
        <v>83.14553500000001</v>
      </c>
      <c r="E13" s="59">
        <f>CV2_Infra!E11</f>
        <v>0</v>
      </c>
      <c r="F13" s="59">
        <f t="shared" si="0"/>
        <v>83.14553500000001</v>
      </c>
      <c r="G13" s="89">
        <f t="shared" si="1"/>
        <v>0</v>
      </c>
      <c r="H13" s="103"/>
    </row>
    <row r="14" spans="1:8" ht="15.6">
      <c r="A14" s="66" t="s">
        <v>17</v>
      </c>
      <c r="B14" s="67" t="s">
        <v>31</v>
      </c>
      <c r="C14" s="59" t="s">
        <v>14</v>
      </c>
      <c r="D14" s="96">
        <f>CV2_Infra!D17</f>
        <v>287.19565359374997</v>
      </c>
      <c r="E14" s="59">
        <f>CV2_Infra!E17</f>
        <v>0</v>
      </c>
      <c r="F14" s="59">
        <f t="shared" si="0"/>
        <v>287.19565359374997</v>
      </c>
      <c r="G14" s="89">
        <f t="shared" si="1"/>
        <v>0</v>
      </c>
      <c r="H14" s="103"/>
    </row>
    <row r="15" spans="1:8" ht="15.6">
      <c r="A15" s="66" t="s">
        <v>19</v>
      </c>
      <c r="B15" s="67" t="s">
        <v>32</v>
      </c>
      <c r="C15" s="59" t="s">
        <v>14</v>
      </c>
      <c r="D15" s="96">
        <f>CV2_Infra!D23</f>
        <v>229.76</v>
      </c>
      <c r="E15" s="59">
        <f>CV2_Infra!E23</f>
        <v>0</v>
      </c>
      <c r="F15" s="59">
        <f t="shared" si="0"/>
        <v>229.76</v>
      </c>
      <c r="G15" s="89">
        <f t="shared" si="1"/>
        <v>0</v>
      </c>
      <c r="H15" s="103"/>
    </row>
    <row r="16" spans="1:8" ht="15.6">
      <c r="A16" s="66" t="s">
        <v>21</v>
      </c>
      <c r="B16" s="67" t="s">
        <v>33</v>
      </c>
      <c r="C16" s="59" t="s">
        <v>14</v>
      </c>
      <c r="D16" s="96">
        <f>CV2_Infra!D29</f>
        <v>158.04330937500001</v>
      </c>
      <c r="E16" s="59">
        <f>CV2_Infra!E29</f>
        <v>0</v>
      </c>
      <c r="F16" s="59">
        <f t="shared" si="0"/>
        <v>158.04330937500001</v>
      </c>
      <c r="G16" s="89">
        <f t="shared" si="1"/>
        <v>0</v>
      </c>
      <c r="H16" s="104"/>
    </row>
    <row r="17" spans="1:8" ht="15.6">
      <c r="A17" s="68" t="s">
        <v>23</v>
      </c>
      <c r="B17" s="67" t="s">
        <v>34</v>
      </c>
      <c r="C17" s="59" t="s">
        <v>14</v>
      </c>
      <c r="D17" s="96">
        <f>CV2_Infra!D35</f>
        <v>18.946189500000003</v>
      </c>
      <c r="E17" s="59">
        <f>CV2_Infra!E35</f>
        <v>0</v>
      </c>
      <c r="F17" s="59">
        <f t="shared" si="0"/>
        <v>18.946189500000003</v>
      </c>
      <c r="G17" s="89">
        <f t="shared" si="1"/>
        <v>0</v>
      </c>
      <c r="H17" s="26"/>
    </row>
    <row r="18" spans="1:8" ht="15.6">
      <c r="A18" s="66" t="s">
        <v>25</v>
      </c>
      <c r="B18" s="67" t="s">
        <v>35</v>
      </c>
      <c r="C18" s="59" t="s">
        <v>14</v>
      </c>
      <c r="D18" s="96">
        <f>CV2_Infra!D41</f>
        <v>82.375576250000009</v>
      </c>
      <c r="E18" s="59">
        <f>CV2_Infra!E41</f>
        <v>0</v>
      </c>
      <c r="F18" s="59">
        <f t="shared" si="0"/>
        <v>82.375576250000009</v>
      </c>
      <c r="G18" s="89">
        <f t="shared" si="1"/>
        <v>0</v>
      </c>
      <c r="H18" s="26"/>
    </row>
    <row r="19" spans="1:8" ht="27.75" customHeight="1">
      <c r="A19" s="65" t="s">
        <v>36</v>
      </c>
      <c r="B19" s="65" t="s">
        <v>37</v>
      </c>
      <c r="C19" s="65"/>
      <c r="D19" s="94"/>
      <c r="E19" s="65"/>
      <c r="F19" s="65"/>
      <c r="G19" s="90"/>
      <c r="H19" s="3"/>
    </row>
    <row r="20" spans="1:8" ht="15.6">
      <c r="A20" s="66" t="s">
        <v>12</v>
      </c>
      <c r="B20" s="67" t="s">
        <v>38</v>
      </c>
      <c r="C20" s="59" t="s">
        <v>39</v>
      </c>
      <c r="D20" s="95">
        <f>CV3_Pway!D4</f>
        <v>49980</v>
      </c>
      <c r="E20" s="59">
        <f>CV3_Pway!E4</f>
        <v>0</v>
      </c>
      <c r="F20" s="59">
        <f>D20-E20</f>
        <v>49980</v>
      </c>
      <c r="G20" s="89">
        <f t="shared" si="1"/>
        <v>0</v>
      </c>
      <c r="H20" s="102"/>
    </row>
    <row r="21" spans="1:8" ht="15.6">
      <c r="A21" s="66" t="s">
        <v>15</v>
      </c>
      <c r="B21" s="67" t="s">
        <v>40</v>
      </c>
      <c r="C21" s="59" t="s">
        <v>39</v>
      </c>
      <c r="D21" s="95">
        <f>CV3_Pway!D5</f>
        <v>23034</v>
      </c>
      <c r="E21" s="59">
        <f>CV3_Pway!E5</f>
        <v>0</v>
      </c>
      <c r="F21" s="59">
        <f>D21-E21</f>
        <v>23034</v>
      </c>
      <c r="G21" s="89">
        <f t="shared" si="1"/>
        <v>0</v>
      </c>
      <c r="H21" s="103"/>
    </row>
    <row r="22" spans="1:8" ht="15.6">
      <c r="A22" s="66" t="s">
        <v>17</v>
      </c>
      <c r="B22" s="67" t="s">
        <v>41</v>
      </c>
      <c r="C22" s="60" t="s">
        <v>42</v>
      </c>
      <c r="D22" s="95">
        <f>CV3_Pway!D6</f>
        <v>17060</v>
      </c>
      <c r="E22" s="59">
        <f>CV3_Pway!E6</f>
        <v>0</v>
      </c>
      <c r="F22" s="59">
        <f>D22-E22</f>
        <v>17060</v>
      </c>
      <c r="G22" s="89">
        <f t="shared" si="1"/>
        <v>0</v>
      </c>
      <c r="H22" s="104"/>
    </row>
    <row r="23" spans="1:8" ht="15.6">
      <c r="A23" s="66" t="s">
        <v>19</v>
      </c>
      <c r="B23" s="67" t="s">
        <v>43</v>
      </c>
      <c r="C23" s="59" t="s">
        <v>44</v>
      </c>
      <c r="D23" s="95">
        <f>CV3_Pway!D7</f>
        <v>10270</v>
      </c>
      <c r="E23" s="59">
        <f>CV3_Pway!E6</f>
        <v>0</v>
      </c>
      <c r="F23" s="59">
        <f>D23-E23</f>
        <v>10270</v>
      </c>
      <c r="G23" s="89">
        <f t="shared" si="1"/>
        <v>0</v>
      </c>
      <c r="H23" s="26"/>
    </row>
    <row r="24" spans="1:8" ht="15.6">
      <c r="A24" s="66" t="s">
        <v>21</v>
      </c>
      <c r="B24" s="67" t="s">
        <v>45</v>
      </c>
      <c r="C24" s="59" t="s">
        <v>46</v>
      </c>
      <c r="D24" s="95">
        <f>CV3_Pway!D8</f>
        <v>52</v>
      </c>
      <c r="E24" s="59">
        <f>CV3_Pway!E8</f>
        <v>0</v>
      </c>
      <c r="F24" s="59">
        <f>D24-E24</f>
        <v>52</v>
      </c>
      <c r="G24" s="89">
        <f t="shared" si="1"/>
        <v>0</v>
      </c>
      <c r="H24" s="26"/>
    </row>
    <row r="25" spans="1:8" ht="15.6">
      <c r="A25" s="65" t="s">
        <v>47</v>
      </c>
      <c r="B25" s="87" t="s">
        <v>48</v>
      </c>
      <c r="C25" s="87"/>
      <c r="D25" s="97"/>
      <c r="E25" s="87"/>
      <c r="F25" s="87"/>
      <c r="G25" s="90"/>
      <c r="H25" s="3"/>
    </row>
    <row r="26" spans="1:8" ht="15.6">
      <c r="A26" s="66" t="s">
        <v>12</v>
      </c>
      <c r="B26" s="67" t="s">
        <v>49</v>
      </c>
      <c r="C26" s="59" t="s">
        <v>39</v>
      </c>
      <c r="D26" s="98">
        <f>Earthwork!D4</f>
        <v>245000</v>
      </c>
      <c r="E26" s="62">
        <f>Earthwork!E4</f>
        <v>190000</v>
      </c>
      <c r="F26" s="59">
        <f>D26-E26</f>
        <v>55000</v>
      </c>
      <c r="G26" s="89">
        <f t="shared" si="1"/>
        <v>0.77551020408163263</v>
      </c>
      <c r="H26" s="102"/>
    </row>
    <row r="27" spans="1:8" ht="15.6">
      <c r="A27" s="66" t="s">
        <v>15</v>
      </c>
      <c r="B27" s="67" t="s">
        <v>50</v>
      </c>
      <c r="C27" s="59" t="s">
        <v>39</v>
      </c>
      <c r="D27" s="95">
        <f>Earthwork!D5</f>
        <v>905000</v>
      </c>
      <c r="E27" s="59">
        <f>Earthwork!E5</f>
        <v>0</v>
      </c>
      <c r="F27" s="59">
        <f>D27-E27</f>
        <v>905000</v>
      </c>
      <c r="G27" s="89">
        <f>E27/D27</f>
        <v>0</v>
      </c>
      <c r="H27" s="103"/>
    </row>
    <row r="28" spans="1:8" ht="15.6">
      <c r="A28" s="66" t="s">
        <v>17</v>
      </c>
      <c r="B28" s="67" t="s">
        <v>51</v>
      </c>
      <c r="C28" s="88" t="s">
        <v>39</v>
      </c>
      <c r="D28" s="95">
        <f>Earthwork!D6</f>
        <v>1150000</v>
      </c>
      <c r="E28" s="59">
        <f>Earthwork!E6</f>
        <v>190000</v>
      </c>
      <c r="F28" s="59">
        <f>D28-E28</f>
        <v>960000</v>
      </c>
      <c r="G28" s="89">
        <f t="shared" si="1"/>
        <v>0.16521739130434782</v>
      </c>
      <c r="H28" s="103"/>
    </row>
    <row r="29" spans="1:8" ht="15.6">
      <c r="A29" s="65" t="s">
        <v>52</v>
      </c>
      <c r="B29" s="87"/>
      <c r="C29" s="87"/>
      <c r="D29" s="97"/>
      <c r="E29" s="87"/>
      <c r="F29" s="87"/>
      <c r="G29" s="90"/>
      <c r="H29" s="3"/>
    </row>
    <row r="30" spans="1:8">
      <c r="F30" s="39"/>
      <c r="G30" s="40"/>
    </row>
  </sheetData>
  <mergeCells count="4">
    <mergeCell ref="H4:H10"/>
    <mergeCell ref="H12:H16"/>
    <mergeCell ref="H20:H22"/>
    <mergeCell ref="H26:H28"/>
  </mergeCells>
  <conditionalFormatting sqref="G1">
    <cfRule type="dataBar" priority="4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{464CAD3D-329E-49CE-8149-349BFDDE3BE2}</x14:id>
        </ext>
      </extLst>
    </cfRule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{476B9322-9C71-4E7B-A051-67BFC7033540}</x14:id>
        </ext>
      </extLst>
    </cfRule>
  </conditionalFormatting>
  <conditionalFormatting sqref="G2">
    <cfRule type="dataBar" priority="6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{27962D78-3B66-4FBE-B586-6EFD6608127B}</x14:id>
        </ext>
      </extLst>
    </cfRule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{80CB7298-472A-475F-B096-591EC23B8602}</x14:id>
        </ext>
      </extLst>
    </cfRule>
  </conditionalFormatting>
  <conditionalFormatting sqref="G4:G10 G12:G18 G20:G24 G26:G28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{23B70758-6144-49D7-BEE0-AE6BCA30D0E7}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4CAD3D-329E-49CE-8149-349BFDDE3B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6B9322-9C71-4E7B-A051-67BFC70335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27962D78-3B66-4FBE-B586-6EFD660812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CB7298-472A-475F-B096-591EC23B86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23B70758-6144-49D7-BEE0-AE6BCA30D0E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G4:G10 G12:G18 G20:G24 G26:G28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B5B2-74A2-4166-A8E1-0E923508EA0E}">
  <sheetPr>
    <tabColor theme="4" tint="0.39997558519241921"/>
  </sheetPr>
  <dimension ref="A1:J84"/>
  <sheetViews>
    <sheetView topLeftCell="A3" zoomScale="55" zoomScaleNormal="55" workbookViewId="0">
      <selection activeCell="G28" sqref="G28"/>
    </sheetView>
  </sheetViews>
  <sheetFormatPr defaultRowHeight="14.4"/>
  <cols>
    <col min="2" max="2" width="55" customWidth="1"/>
    <col min="3" max="3" width="9.109375" customWidth="1"/>
    <col min="4" max="4" width="25" customWidth="1"/>
    <col min="5" max="6" width="25" hidden="1" customWidth="1"/>
    <col min="7" max="7" width="29.77734375" customWidth="1"/>
    <col min="8" max="8" width="25" customWidth="1"/>
    <col min="9" max="9" width="25" style="1" customWidth="1"/>
    <col min="10" max="10" width="121.33203125" customWidth="1"/>
  </cols>
  <sheetData>
    <row r="1" spans="1:10" s="9" customFormat="1" ht="20.399999999999999">
      <c r="A1" s="70" t="s">
        <v>0</v>
      </c>
      <c r="B1" s="71"/>
      <c r="C1" s="71"/>
      <c r="D1" s="71"/>
      <c r="E1" s="71"/>
      <c r="F1" s="71"/>
      <c r="G1" s="71"/>
      <c r="H1" s="71"/>
      <c r="I1" s="72" t="s">
        <v>1</v>
      </c>
      <c r="J1" s="73"/>
    </row>
    <row r="2" spans="1:10" s="5" customFormat="1" ht="51" customHeight="1">
      <c r="A2" s="74" t="s">
        <v>2</v>
      </c>
      <c r="B2" s="74" t="s">
        <v>3</v>
      </c>
      <c r="C2" s="74" t="s">
        <v>4</v>
      </c>
      <c r="D2" s="74" t="s">
        <v>5</v>
      </c>
      <c r="E2" s="74" t="s">
        <v>55</v>
      </c>
      <c r="F2" s="74" t="s">
        <v>56</v>
      </c>
      <c r="G2" s="74" t="s">
        <v>6</v>
      </c>
      <c r="H2" s="74" t="s">
        <v>7</v>
      </c>
      <c r="I2" s="75" t="s">
        <v>8</v>
      </c>
      <c r="J2" s="75" t="s">
        <v>9</v>
      </c>
    </row>
    <row r="3" spans="1:10" s="2" customFormat="1" ht="15.75" customHeight="1">
      <c r="A3" s="63" t="s">
        <v>10</v>
      </c>
      <c r="B3" s="63" t="s">
        <v>13</v>
      </c>
      <c r="C3" s="63"/>
      <c r="D3" s="63"/>
      <c r="E3" s="63"/>
      <c r="F3" s="69"/>
      <c r="G3" s="63"/>
      <c r="H3" s="63"/>
      <c r="I3" s="63"/>
      <c r="J3" s="63"/>
    </row>
    <row r="4" spans="1:10" s="2" customFormat="1" ht="15.6">
      <c r="A4" s="64" t="s">
        <v>12</v>
      </c>
      <c r="B4" s="64" t="s">
        <v>57</v>
      </c>
      <c r="C4" s="50" t="s">
        <v>39</v>
      </c>
      <c r="D4" s="50">
        <v>1213</v>
      </c>
      <c r="E4" s="50">
        <v>0</v>
      </c>
      <c r="F4" s="50">
        <f>G4-E4</f>
        <v>0</v>
      </c>
      <c r="G4" s="50"/>
      <c r="H4" s="50">
        <f>D4-G4</f>
        <v>1213</v>
      </c>
      <c r="I4" s="100">
        <f>G4/D4</f>
        <v>0</v>
      </c>
      <c r="J4" s="108" t="s">
        <v>58</v>
      </c>
    </row>
    <row r="5" spans="1:10" s="2" customFormat="1" ht="15.6">
      <c r="A5" s="64" t="s">
        <v>15</v>
      </c>
      <c r="B5" s="64" t="s">
        <v>59</v>
      </c>
      <c r="C5" s="50" t="s">
        <v>39</v>
      </c>
      <c r="D5" s="50">
        <v>51</v>
      </c>
      <c r="E5" s="50">
        <v>0</v>
      </c>
      <c r="F5" s="50">
        <f>G5-E5</f>
        <v>0</v>
      </c>
      <c r="G5" s="50"/>
      <c r="H5" s="50">
        <f>D5-G5</f>
        <v>51</v>
      </c>
      <c r="I5" s="100">
        <f>G5/D5</f>
        <v>0</v>
      </c>
      <c r="J5" s="109"/>
    </row>
    <row r="6" spans="1:10" s="2" customFormat="1" ht="15.6">
      <c r="A6" s="64" t="s">
        <v>17</v>
      </c>
      <c r="B6" s="64" t="s">
        <v>60</v>
      </c>
      <c r="C6" s="50" t="s">
        <v>61</v>
      </c>
      <c r="D6" s="50">
        <v>1551</v>
      </c>
      <c r="E6" s="50">
        <v>0</v>
      </c>
      <c r="F6" s="50">
        <f>G6-E6</f>
        <v>0</v>
      </c>
      <c r="G6" s="50"/>
      <c r="H6" s="50">
        <f>D6-G6</f>
        <v>1551</v>
      </c>
      <c r="I6" s="100">
        <f>G6/D6</f>
        <v>0</v>
      </c>
      <c r="J6" s="109"/>
    </row>
    <row r="7" spans="1:10" s="2" customFormat="1" ht="15.6">
      <c r="A7" s="64" t="s">
        <v>19</v>
      </c>
      <c r="B7" s="64" t="s">
        <v>62</v>
      </c>
      <c r="C7" s="50" t="s">
        <v>63</v>
      </c>
      <c r="D7" s="50">
        <v>111</v>
      </c>
      <c r="E7" s="50">
        <v>0</v>
      </c>
      <c r="F7" s="50">
        <f>G7-E7</f>
        <v>0</v>
      </c>
      <c r="G7" s="50"/>
      <c r="H7" s="50">
        <f>D7-G7</f>
        <v>111</v>
      </c>
      <c r="I7" s="100">
        <f>G7/D7</f>
        <v>0</v>
      </c>
      <c r="J7" s="109"/>
    </row>
    <row r="8" spans="1:10" s="2" customFormat="1" ht="15.6">
      <c r="A8" s="64" t="s">
        <v>21</v>
      </c>
      <c r="B8" s="64" t="s">
        <v>64</v>
      </c>
      <c r="C8" s="50" t="s">
        <v>39</v>
      </c>
      <c r="D8" s="50">
        <v>841</v>
      </c>
      <c r="E8" s="50">
        <v>0</v>
      </c>
      <c r="F8" s="50">
        <f>G8-E8</f>
        <v>0</v>
      </c>
      <c r="G8" s="50"/>
      <c r="H8" s="50">
        <f>D8-G8</f>
        <v>841</v>
      </c>
      <c r="I8" s="100">
        <f>G8/D8</f>
        <v>0</v>
      </c>
      <c r="J8" s="110"/>
    </row>
    <row r="9" spans="1:10" s="2" customFormat="1" ht="15.75" customHeight="1">
      <c r="A9" s="63" t="s">
        <v>27</v>
      </c>
      <c r="B9" s="63" t="s">
        <v>16</v>
      </c>
      <c r="C9" s="63"/>
      <c r="D9" s="63"/>
      <c r="E9" s="63"/>
      <c r="F9" s="69"/>
      <c r="G9" s="63"/>
      <c r="H9" s="63"/>
      <c r="I9" s="63"/>
      <c r="J9" s="63"/>
    </row>
    <row r="10" spans="1:10" s="2" customFormat="1" ht="15.6">
      <c r="A10" s="64" t="s">
        <v>12</v>
      </c>
      <c r="B10" s="64" t="s">
        <v>57</v>
      </c>
      <c r="C10" s="50" t="s">
        <v>39</v>
      </c>
      <c r="D10" s="50">
        <v>3481</v>
      </c>
      <c r="E10" s="50">
        <v>3032</v>
      </c>
      <c r="F10" s="50">
        <f>G10-E10</f>
        <v>0</v>
      </c>
      <c r="G10" s="50">
        <v>3032</v>
      </c>
      <c r="H10" s="50">
        <f>D10-G10</f>
        <v>449</v>
      </c>
      <c r="I10" s="100">
        <f>G10/D10</f>
        <v>0.87101407641482331</v>
      </c>
      <c r="J10" s="108" t="s">
        <v>65</v>
      </c>
    </row>
    <row r="11" spans="1:10" s="2" customFormat="1" ht="15.6">
      <c r="A11" s="64" t="s">
        <v>15</v>
      </c>
      <c r="B11" s="64" t="s">
        <v>59</v>
      </c>
      <c r="C11" s="50" t="s">
        <v>39</v>
      </c>
      <c r="D11" s="50">
        <v>118</v>
      </c>
      <c r="E11" s="50">
        <v>52</v>
      </c>
      <c r="F11" s="50">
        <f>G11-E11</f>
        <v>0</v>
      </c>
      <c r="G11" s="50">
        <v>52</v>
      </c>
      <c r="H11" s="50">
        <f>D11-G11</f>
        <v>66</v>
      </c>
      <c r="I11" s="100">
        <f>G11/D11</f>
        <v>0.44067796610169491</v>
      </c>
      <c r="J11" s="109"/>
    </row>
    <row r="12" spans="1:10" s="2" customFormat="1" ht="15.6">
      <c r="A12" s="64" t="s">
        <v>17</v>
      </c>
      <c r="B12" s="64" t="s">
        <v>60</v>
      </c>
      <c r="C12" s="50" t="s">
        <v>61</v>
      </c>
      <c r="D12" s="50">
        <v>2788</v>
      </c>
      <c r="E12" s="50">
        <v>2566</v>
      </c>
      <c r="F12" s="50">
        <f>G12-E12</f>
        <v>0</v>
      </c>
      <c r="G12" s="50">
        <v>2566</v>
      </c>
      <c r="H12" s="50">
        <f>D12-G12</f>
        <v>222</v>
      </c>
      <c r="I12" s="100">
        <f>G12/D12</f>
        <v>0.9203730272596844</v>
      </c>
      <c r="J12" s="109"/>
    </row>
    <row r="13" spans="1:10" s="2" customFormat="1" ht="15.6">
      <c r="A13" s="64" t="s">
        <v>19</v>
      </c>
      <c r="B13" s="64" t="s">
        <v>62</v>
      </c>
      <c r="C13" s="50" t="s">
        <v>63</v>
      </c>
      <c r="D13" s="50">
        <v>192</v>
      </c>
      <c r="E13" s="50">
        <v>133</v>
      </c>
      <c r="F13" s="50">
        <f>G13-E13</f>
        <v>5</v>
      </c>
      <c r="G13" s="50">
        <v>138</v>
      </c>
      <c r="H13" s="50">
        <f>D13-G13</f>
        <v>54</v>
      </c>
      <c r="I13" s="100">
        <f>G13/D13</f>
        <v>0.71875</v>
      </c>
      <c r="J13" s="109"/>
    </row>
    <row r="14" spans="1:10" s="2" customFormat="1" ht="15.6">
      <c r="A14" s="64" t="s">
        <v>21</v>
      </c>
      <c r="B14" s="64" t="s">
        <v>64</v>
      </c>
      <c r="C14" s="50" t="s">
        <v>39</v>
      </c>
      <c r="D14" s="50">
        <v>1550</v>
      </c>
      <c r="E14" s="50">
        <v>748</v>
      </c>
      <c r="F14" s="50">
        <f>G14-E14</f>
        <v>27</v>
      </c>
      <c r="G14" s="50">
        <v>775</v>
      </c>
      <c r="H14" s="50">
        <f>D14-G14</f>
        <v>775</v>
      </c>
      <c r="I14" s="100">
        <f>G14/D14</f>
        <v>0.5</v>
      </c>
      <c r="J14" s="110"/>
    </row>
    <row r="15" spans="1:10" s="2" customFormat="1" ht="15.75" customHeight="1">
      <c r="A15" s="63" t="s">
        <v>36</v>
      </c>
      <c r="B15" s="63" t="s">
        <v>18</v>
      </c>
      <c r="C15" s="63"/>
      <c r="D15" s="63"/>
      <c r="E15" s="63"/>
      <c r="F15" s="69"/>
      <c r="G15" s="63"/>
      <c r="H15" s="63"/>
      <c r="I15" s="63"/>
      <c r="J15" s="63"/>
    </row>
    <row r="16" spans="1:10" s="2" customFormat="1" ht="15.6">
      <c r="A16" s="64" t="s">
        <v>12</v>
      </c>
      <c r="B16" s="64" t="s">
        <v>57</v>
      </c>
      <c r="C16" s="50" t="s">
        <v>39</v>
      </c>
      <c r="D16" s="50">
        <v>1081</v>
      </c>
      <c r="E16" s="50">
        <v>1081</v>
      </c>
      <c r="F16" s="50">
        <f>G16-E16</f>
        <v>0</v>
      </c>
      <c r="G16" s="50">
        <v>1081</v>
      </c>
      <c r="H16" s="50">
        <f>D16-G16</f>
        <v>0</v>
      </c>
      <c r="I16" s="100">
        <f>G16/D16</f>
        <v>1</v>
      </c>
      <c r="J16" s="108" t="s">
        <v>66</v>
      </c>
    </row>
    <row r="17" spans="1:10" s="2" customFormat="1" ht="15.6">
      <c r="A17" s="64" t="s">
        <v>15</v>
      </c>
      <c r="B17" s="64" t="s">
        <v>59</v>
      </c>
      <c r="C17" s="50" t="s">
        <v>39</v>
      </c>
      <c r="D17" s="50">
        <v>203</v>
      </c>
      <c r="E17" s="50">
        <v>78</v>
      </c>
      <c r="F17" s="50">
        <f>G17-E17</f>
        <v>0</v>
      </c>
      <c r="G17" s="50">
        <v>78</v>
      </c>
      <c r="H17" s="50">
        <f>D17-G17</f>
        <v>125</v>
      </c>
      <c r="I17" s="100">
        <f t="shared" ref="I17:I20" si="0">G17/D17</f>
        <v>0.38423645320197042</v>
      </c>
      <c r="J17" s="109"/>
    </row>
    <row r="18" spans="1:10" s="2" customFormat="1" ht="15.6">
      <c r="A18" s="64" t="s">
        <v>17</v>
      </c>
      <c r="B18" s="64" t="s">
        <v>60</v>
      </c>
      <c r="C18" s="50" t="s">
        <v>61</v>
      </c>
      <c r="D18" s="50">
        <v>2035</v>
      </c>
      <c r="E18" s="50">
        <v>1954</v>
      </c>
      <c r="F18" s="50">
        <f>G18-E18</f>
        <v>0</v>
      </c>
      <c r="G18" s="50">
        <v>1954</v>
      </c>
      <c r="H18" s="50">
        <f>D18-G18</f>
        <v>81</v>
      </c>
      <c r="I18" s="100">
        <f t="shared" si="0"/>
        <v>0.96019656019656019</v>
      </c>
      <c r="J18" s="109"/>
    </row>
    <row r="19" spans="1:10" s="2" customFormat="1" ht="15.6">
      <c r="A19" s="64" t="s">
        <v>19</v>
      </c>
      <c r="B19" s="64" t="s">
        <v>62</v>
      </c>
      <c r="C19" s="50" t="s">
        <v>63</v>
      </c>
      <c r="D19" s="50">
        <v>72</v>
      </c>
      <c r="E19" s="50">
        <v>69</v>
      </c>
      <c r="F19" s="50">
        <f>G19-E19</f>
        <v>1</v>
      </c>
      <c r="G19" s="50">
        <v>70</v>
      </c>
      <c r="H19" s="50">
        <f>D19-G19</f>
        <v>2</v>
      </c>
      <c r="I19" s="100">
        <f t="shared" si="0"/>
        <v>0.97222222222222221</v>
      </c>
      <c r="J19" s="109"/>
    </row>
    <row r="20" spans="1:10" s="2" customFormat="1" ht="15.6">
      <c r="A20" s="64" t="s">
        <v>21</v>
      </c>
      <c r="B20" s="64" t="s">
        <v>64</v>
      </c>
      <c r="C20" s="50" t="s">
        <v>39</v>
      </c>
      <c r="D20" s="50">
        <v>715</v>
      </c>
      <c r="E20" s="50">
        <v>665.25</v>
      </c>
      <c r="F20" s="50">
        <f>G20-E20</f>
        <v>27</v>
      </c>
      <c r="G20" s="50">
        <v>692.25</v>
      </c>
      <c r="H20" s="50">
        <f>D20-G20</f>
        <v>22.75</v>
      </c>
      <c r="I20" s="100">
        <f t="shared" si="0"/>
        <v>0.96818181818181814</v>
      </c>
      <c r="J20" s="110"/>
    </row>
    <row r="21" spans="1:10" s="2" customFormat="1" ht="15.75" customHeight="1">
      <c r="A21" s="63" t="s">
        <v>47</v>
      </c>
      <c r="B21" s="63" t="s">
        <v>20</v>
      </c>
      <c r="C21" s="63"/>
      <c r="D21" s="63"/>
      <c r="E21" s="69"/>
      <c r="F21" s="63"/>
      <c r="G21" s="63"/>
      <c r="H21" s="63"/>
      <c r="I21" s="63"/>
      <c r="J21" s="63"/>
    </row>
    <row r="22" spans="1:10" s="2" customFormat="1" ht="15.6">
      <c r="A22" s="64" t="s">
        <v>12</v>
      </c>
      <c r="B22" s="64" t="s">
        <v>57</v>
      </c>
      <c r="C22" s="50" t="s">
        <v>39</v>
      </c>
      <c r="D22" s="50">
        <v>1357</v>
      </c>
      <c r="E22" s="50">
        <v>1357</v>
      </c>
      <c r="F22" s="50">
        <f>G22-E22</f>
        <v>0</v>
      </c>
      <c r="G22" s="50">
        <v>1357</v>
      </c>
      <c r="H22" s="50">
        <f>D22-G22</f>
        <v>0</v>
      </c>
      <c r="I22" s="100">
        <f>G22/D22</f>
        <v>1</v>
      </c>
      <c r="J22" s="108" t="s">
        <v>67</v>
      </c>
    </row>
    <row r="23" spans="1:10" s="2" customFormat="1" ht="15.6">
      <c r="A23" s="64" t="s">
        <v>15</v>
      </c>
      <c r="B23" s="64" t="s">
        <v>59</v>
      </c>
      <c r="C23" s="50" t="s">
        <v>39</v>
      </c>
      <c r="D23" s="50">
        <v>128</v>
      </c>
      <c r="E23" s="50">
        <v>43</v>
      </c>
      <c r="F23" s="50">
        <f>G23-E23</f>
        <v>0</v>
      </c>
      <c r="G23" s="50">
        <v>43</v>
      </c>
      <c r="H23" s="50">
        <f>D23-G23</f>
        <v>85</v>
      </c>
      <c r="I23" s="100">
        <f>G23/D23</f>
        <v>0.3359375</v>
      </c>
      <c r="J23" s="109"/>
    </row>
    <row r="24" spans="1:10" s="2" customFormat="1" ht="15.6">
      <c r="A24" s="64" t="s">
        <v>17</v>
      </c>
      <c r="B24" s="64" t="s">
        <v>60</v>
      </c>
      <c r="C24" s="50" t="s">
        <v>61</v>
      </c>
      <c r="D24" s="50">
        <v>1209</v>
      </c>
      <c r="E24" s="50">
        <v>1162</v>
      </c>
      <c r="F24" s="50">
        <f>G24-E24</f>
        <v>0</v>
      </c>
      <c r="G24" s="50">
        <v>1162</v>
      </c>
      <c r="H24" s="50">
        <f>D24-G24</f>
        <v>47</v>
      </c>
      <c r="I24" s="100">
        <f>G24/D24</f>
        <v>0.96112489660876754</v>
      </c>
      <c r="J24" s="109"/>
    </row>
    <row r="25" spans="1:10" s="2" customFormat="1" ht="15.6">
      <c r="A25" s="64" t="s">
        <v>19</v>
      </c>
      <c r="B25" s="64" t="s">
        <v>62</v>
      </c>
      <c r="C25" s="50" t="s">
        <v>63</v>
      </c>
      <c r="D25" s="50">
        <v>89</v>
      </c>
      <c r="E25" s="50">
        <v>77</v>
      </c>
      <c r="F25" s="50">
        <f>G25-E25</f>
        <v>3</v>
      </c>
      <c r="G25" s="50">
        <v>80</v>
      </c>
      <c r="H25" s="50">
        <f>D25-G25</f>
        <v>9</v>
      </c>
      <c r="I25" s="100">
        <f>G25/D25</f>
        <v>0.898876404494382</v>
      </c>
      <c r="J25" s="109"/>
    </row>
    <row r="26" spans="1:10" s="2" customFormat="1" ht="15.6">
      <c r="A26" s="64" t="s">
        <v>21</v>
      </c>
      <c r="B26" s="64" t="s">
        <v>64</v>
      </c>
      <c r="C26" s="50" t="s">
        <v>39</v>
      </c>
      <c r="D26" s="50">
        <v>885</v>
      </c>
      <c r="E26" s="50">
        <v>593</v>
      </c>
      <c r="F26" s="50">
        <f>G26-E26</f>
        <v>31</v>
      </c>
      <c r="G26" s="50">
        <v>624</v>
      </c>
      <c r="H26" s="50">
        <f>D26-G26</f>
        <v>261</v>
      </c>
      <c r="I26" s="100">
        <f>G26/D26</f>
        <v>0.70508474576271185</v>
      </c>
      <c r="J26" s="110"/>
    </row>
    <row r="27" spans="1:10" s="2" customFormat="1" ht="15" customHeight="1">
      <c r="A27" s="63" t="s">
        <v>52</v>
      </c>
      <c r="B27" s="63" t="s">
        <v>22</v>
      </c>
      <c r="C27" s="63"/>
      <c r="D27" s="63"/>
      <c r="E27" s="69"/>
      <c r="F27" s="63"/>
      <c r="G27" s="63"/>
      <c r="H27" s="63"/>
      <c r="I27" s="63"/>
      <c r="J27" s="63"/>
    </row>
    <row r="28" spans="1:10" s="2" customFormat="1" ht="15.6">
      <c r="A28" s="64" t="s">
        <v>12</v>
      </c>
      <c r="B28" s="64" t="s">
        <v>57</v>
      </c>
      <c r="C28" s="50" t="s">
        <v>39</v>
      </c>
      <c r="D28" s="50">
        <v>555</v>
      </c>
      <c r="E28" s="50">
        <v>0</v>
      </c>
      <c r="F28" s="50">
        <f>G28-E28</f>
        <v>0</v>
      </c>
      <c r="G28" s="50"/>
      <c r="H28" s="50">
        <f>D28-G28</f>
        <v>555</v>
      </c>
      <c r="I28" s="100">
        <f>G28/D28</f>
        <v>0</v>
      </c>
      <c r="J28" s="105" t="s">
        <v>58</v>
      </c>
    </row>
    <row r="29" spans="1:10" s="2" customFormat="1" ht="15.6">
      <c r="A29" s="64" t="s">
        <v>15</v>
      </c>
      <c r="B29" s="64" t="s">
        <v>59</v>
      </c>
      <c r="C29" s="50" t="s">
        <v>39</v>
      </c>
      <c r="D29" s="50">
        <v>76</v>
      </c>
      <c r="E29" s="50">
        <v>0</v>
      </c>
      <c r="F29" s="50">
        <f>G29-E29</f>
        <v>0</v>
      </c>
      <c r="G29" s="50"/>
      <c r="H29" s="50">
        <f>D29-G29</f>
        <v>76</v>
      </c>
      <c r="I29" s="100">
        <f>G29/D29</f>
        <v>0</v>
      </c>
      <c r="J29" s="106"/>
    </row>
    <row r="30" spans="1:10" s="2" customFormat="1" ht="15.6">
      <c r="A30" s="64" t="s">
        <v>17</v>
      </c>
      <c r="B30" s="64" t="s">
        <v>60</v>
      </c>
      <c r="C30" s="50" t="s">
        <v>61</v>
      </c>
      <c r="D30" s="50">
        <v>841</v>
      </c>
      <c r="E30" s="50">
        <v>0</v>
      </c>
      <c r="F30" s="50">
        <f>G30-E30</f>
        <v>0</v>
      </c>
      <c r="G30" s="50"/>
      <c r="H30" s="50">
        <f>D30-G30</f>
        <v>841</v>
      </c>
      <c r="I30" s="100">
        <f>G30/D30</f>
        <v>0</v>
      </c>
      <c r="J30" s="106"/>
    </row>
    <row r="31" spans="1:10" s="2" customFormat="1" ht="15.6">
      <c r="A31" s="64" t="s">
        <v>19</v>
      </c>
      <c r="B31" s="64" t="s">
        <v>62</v>
      </c>
      <c r="C31" s="50" t="s">
        <v>63</v>
      </c>
      <c r="D31" s="50">
        <v>18</v>
      </c>
      <c r="E31" s="50">
        <v>0</v>
      </c>
      <c r="F31" s="50">
        <f>G31-E31</f>
        <v>0</v>
      </c>
      <c r="G31" s="50"/>
      <c r="H31" s="50">
        <f>D31-G31</f>
        <v>18</v>
      </c>
      <c r="I31" s="100">
        <f>G31/D31</f>
        <v>0</v>
      </c>
      <c r="J31" s="106"/>
    </row>
    <row r="32" spans="1:10" s="2" customFormat="1" ht="15.6">
      <c r="A32" s="64" t="s">
        <v>21</v>
      </c>
      <c r="B32" s="64" t="s">
        <v>64</v>
      </c>
      <c r="C32" s="50" t="s">
        <v>39</v>
      </c>
      <c r="D32" s="50">
        <v>178</v>
      </c>
      <c r="E32" s="50">
        <v>0</v>
      </c>
      <c r="F32" s="50">
        <f>G32-E32</f>
        <v>0</v>
      </c>
      <c r="G32" s="50"/>
      <c r="H32" s="50">
        <f>D32-G32</f>
        <v>178</v>
      </c>
      <c r="I32" s="100">
        <f>G32/D32</f>
        <v>0</v>
      </c>
      <c r="J32" s="107"/>
    </row>
    <row r="33" spans="1:10" s="2" customFormat="1" ht="15.75" customHeight="1">
      <c r="A33" s="63" t="s">
        <v>53</v>
      </c>
      <c r="B33" s="63" t="s">
        <v>24</v>
      </c>
      <c r="C33" s="63"/>
      <c r="D33" s="63"/>
      <c r="E33" s="69"/>
      <c r="F33" s="63"/>
      <c r="G33" s="63"/>
      <c r="H33" s="63"/>
      <c r="I33" s="63"/>
      <c r="J33" s="63"/>
    </row>
    <row r="34" spans="1:10" s="2" customFormat="1" ht="15.6">
      <c r="A34" s="64" t="s">
        <v>12</v>
      </c>
      <c r="B34" s="64" t="s">
        <v>57</v>
      </c>
      <c r="C34" s="50" t="s">
        <v>39</v>
      </c>
      <c r="D34" s="50">
        <v>466</v>
      </c>
      <c r="E34" s="50">
        <v>0</v>
      </c>
      <c r="F34" s="50">
        <f>G34-E34</f>
        <v>0</v>
      </c>
      <c r="G34" s="50"/>
      <c r="H34" s="50">
        <f>D34-G34</f>
        <v>466</v>
      </c>
      <c r="I34" s="100">
        <f>G34/D34</f>
        <v>0</v>
      </c>
      <c r="J34" s="105" t="s">
        <v>58</v>
      </c>
    </row>
    <row r="35" spans="1:10" s="2" customFormat="1" ht="15.6">
      <c r="A35" s="64" t="s">
        <v>15</v>
      </c>
      <c r="B35" s="64" t="s">
        <v>59</v>
      </c>
      <c r="C35" s="50" t="s">
        <v>39</v>
      </c>
      <c r="D35" s="50">
        <v>23.3</v>
      </c>
      <c r="E35" s="50">
        <v>0</v>
      </c>
      <c r="F35" s="50">
        <f>G35-E35</f>
        <v>0</v>
      </c>
      <c r="G35" s="50"/>
      <c r="H35" s="50">
        <f>D35-G35</f>
        <v>23.3</v>
      </c>
      <c r="I35" s="100">
        <f>G35/D35</f>
        <v>0</v>
      </c>
      <c r="J35" s="106"/>
    </row>
    <row r="36" spans="1:10" s="2" customFormat="1" ht="15.6">
      <c r="A36" s="64" t="s">
        <v>17</v>
      </c>
      <c r="B36" s="64" t="s">
        <v>60</v>
      </c>
      <c r="C36" s="50" t="s">
        <v>61</v>
      </c>
      <c r="D36" s="50">
        <v>582.5</v>
      </c>
      <c r="E36" s="50">
        <v>0</v>
      </c>
      <c r="F36" s="50">
        <f>G36-E36</f>
        <v>0</v>
      </c>
      <c r="G36" s="50"/>
      <c r="H36" s="50">
        <f>D36-G36</f>
        <v>582.5</v>
      </c>
      <c r="I36" s="100">
        <f>G36/D36</f>
        <v>0</v>
      </c>
      <c r="J36" s="106"/>
    </row>
    <row r="37" spans="1:10" s="2" customFormat="1" ht="15.6">
      <c r="A37" s="64" t="s">
        <v>19</v>
      </c>
      <c r="B37" s="64" t="s">
        <v>62</v>
      </c>
      <c r="C37" s="50" t="s">
        <v>63</v>
      </c>
      <c r="D37" s="50">
        <v>27.959999999999997</v>
      </c>
      <c r="E37" s="50">
        <v>0</v>
      </c>
      <c r="F37" s="50">
        <f>G37-E37</f>
        <v>0</v>
      </c>
      <c r="G37" s="50"/>
      <c r="H37" s="50">
        <f>D37-G37</f>
        <v>27.959999999999997</v>
      </c>
      <c r="I37" s="100">
        <f>G37/D37</f>
        <v>0</v>
      </c>
      <c r="J37" s="106"/>
    </row>
    <row r="38" spans="1:10" s="2" customFormat="1" ht="15.6">
      <c r="A38" s="64" t="s">
        <v>21</v>
      </c>
      <c r="B38" s="64" t="s">
        <v>64</v>
      </c>
      <c r="C38" s="50" t="s">
        <v>39</v>
      </c>
      <c r="D38" s="50">
        <v>233</v>
      </c>
      <c r="E38" s="50">
        <v>0</v>
      </c>
      <c r="F38" s="50">
        <f>G38-E38</f>
        <v>85</v>
      </c>
      <c r="G38" s="50">
        <v>85</v>
      </c>
      <c r="H38" s="50">
        <f>D38-G38</f>
        <v>148</v>
      </c>
      <c r="I38" s="100">
        <f>G38/D38</f>
        <v>0.36480686695278969</v>
      </c>
      <c r="J38" s="107"/>
    </row>
    <row r="39" spans="1:10" s="2" customFormat="1" ht="15.75" customHeight="1">
      <c r="A39" s="63" t="s">
        <v>54</v>
      </c>
      <c r="B39" s="63" t="s">
        <v>26</v>
      </c>
      <c r="C39" s="63"/>
      <c r="D39" s="63"/>
      <c r="E39" s="69"/>
      <c r="F39" s="63"/>
      <c r="G39" s="63"/>
      <c r="H39" s="63"/>
      <c r="I39" s="63"/>
      <c r="J39" s="63"/>
    </row>
    <row r="40" spans="1:10" s="2" customFormat="1" ht="15.6">
      <c r="A40" s="64" t="s">
        <v>12</v>
      </c>
      <c r="B40" s="64" t="s">
        <v>57</v>
      </c>
      <c r="C40" s="50" t="s">
        <v>39</v>
      </c>
      <c r="D40" s="50">
        <v>55</v>
      </c>
      <c r="E40" s="50">
        <v>0</v>
      </c>
      <c r="F40" s="50">
        <f>G40-E40</f>
        <v>0</v>
      </c>
      <c r="G40" s="50"/>
      <c r="H40" s="50">
        <f>D40-G40</f>
        <v>55</v>
      </c>
      <c r="I40" s="100">
        <f>G40/D40</f>
        <v>0</v>
      </c>
      <c r="J40" s="105" t="s">
        <v>58</v>
      </c>
    </row>
    <row r="41" spans="1:10" s="2" customFormat="1" ht="15.6">
      <c r="A41" s="64" t="s">
        <v>15</v>
      </c>
      <c r="B41" s="64" t="s">
        <v>59</v>
      </c>
      <c r="C41" s="50" t="s">
        <v>39</v>
      </c>
      <c r="D41" s="50">
        <v>3</v>
      </c>
      <c r="E41" s="50">
        <v>0</v>
      </c>
      <c r="F41" s="50">
        <f>G41-E41</f>
        <v>0</v>
      </c>
      <c r="G41" s="50"/>
      <c r="H41" s="50">
        <f>D41-G41</f>
        <v>3</v>
      </c>
      <c r="I41" s="100">
        <f>G41/D41</f>
        <v>0</v>
      </c>
      <c r="J41" s="106"/>
    </row>
    <row r="42" spans="1:10" s="2" customFormat="1" ht="15.6">
      <c r="A42" s="64" t="s">
        <v>17</v>
      </c>
      <c r="B42" s="64" t="s">
        <v>60</v>
      </c>
      <c r="C42" s="50" t="s">
        <v>61</v>
      </c>
      <c r="D42" s="50">
        <v>70</v>
      </c>
      <c r="E42" s="50">
        <v>0</v>
      </c>
      <c r="F42" s="50">
        <f>G42-E42</f>
        <v>0</v>
      </c>
      <c r="G42" s="50"/>
      <c r="H42" s="50">
        <f>D42-G42</f>
        <v>70</v>
      </c>
      <c r="I42" s="100">
        <f>G42/D42</f>
        <v>0</v>
      </c>
      <c r="J42" s="106"/>
    </row>
    <row r="43" spans="1:10" s="2" customFormat="1" ht="15.6">
      <c r="A43" s="64" t="s">
        <v>19</v>
      </c>
      <c r="B43" s="64" t="s">
        <v>62</v>
      </c>
      <c r="C43" s="50" t="s">
        <v>63</v>
      </c>
      <c r="D43" s="50">
        <v>5</v>
      </c>
      <c r="E43" s="50">
        <v>0</v>
      </c>
      <c r="F43" s="50">
        <f>G43-E43</f>
        <v>0</v>
      </c>
      <c r="G43" s="50"/>
      <c r="H43" s="50">
        <f>D43-G43</f>
        <v>5</v>
      </c>
      <c r="I43" s="100">
        <f>G43/D43</f>
        <v>0</v>
      </c>
      <c r="J43" s="106"/>
    </row>
    <row r="44" spans="1:10" s="2" customFormat="1" ht="15.6">
      <c r="A44" s="64" t="s">
        <v>21</v>
      </c>
      <c r="B44" s="64" t="s">
        <v>64</v>
      </c>
      <c r="C44" s="50" t="s">
        <v>39</v>
      </c>
      <c r="D44" s="50">
        <v>52</v>
      </c>
      <c r="E44" s="50">
        <v>0</v>
      </c>
      <c r="F44" s="50">
        <f>G44-E44</f>
        <v>0</v>
      </c>
      <c r="G44" s="50"/>
      <c r="H44" s="50">
        <f>D44-G44</f>
        <v>52</v>
      </c>
      <c r="I44" s="101">
        <f>G44/D44</f>
        <v>0</v>
      </c>
      <c r="J44" s="107"/>
    </row>
    <row r="45" spans="1:10" ht="15.6">
      <c r="A45" s="76"/>
      <c r="B45" s="76"/>
      <c r="C45" s="76"/>
      <c r="D45" s="76"/>
      <c r="E45" s="76"/>
      <c r="F45" s="76"/>
      <c r="G45" s="76"/>
      <c r="H45" s="76"/>
      <c r="I45" s="57"/>
      <c r="J45" s="76"/>
    </row>
    <row r="68" spans="7:7" ht="15.6">
      <c r="G68" s="50"/>
    </row>
    <row r="69" spans="7:7" ht="15.6">
      <c r="G69" s="50"/>
    </row>
    <row r="70" spans="7:7" ht="15.6">
      <c r="G70" s="50"/>
    </row>
    <row r="71" spans="7:7" ht="15.6">
      <c r="G71" s="50"/>
    </row>
    <row r="72" spans="7:7" ht="15.6">
      <c r="G72" s="50"/>
    </row>
    <row r="73" spans="7:7" ht="15.6">
      <c r="G73" s="63"/>
    </row>
    <row r="74" spans="7:7" ht="15.6">
      <c r="G74" s="50"/>
    </row>
    <row r="75" spans="7:7" ht="15.6">
      <c r="G75" s="50"/>
    </row>
    <row r="76" spans="7:7" ht="15.6">
      <c r="G76" s="50"/>
    </row>
    <row r="77" spans="7:7" ht="15.6">
      <c r="G77" s="50"/>
    </row>
    <row r="78" spans="7:7" ht="15.6">
      <c r="G78" s="50"/>
    </row>
    <row r="79" spans="7:7" ht="15.6">
      <c r="G79" s="63"/>
    </row>
    <row r="80" spans="7:7" ht="15.6">
      <c r="G80" s="50"/>
    </row>
    <row r="81" spans="7:7" ht="15.6">
      <c r="G81" s="50"/>
    </row>
    <row r="82" spans="7:7" ht="15.6">
      <c r="G82" s="50"/>
    </row>
    <row r="83" spans="7:7" ht="15.6">
      <c r="G83" s="50"/>
    </row>
    <row r="84" spans="7:7" ht="15.6">
      <c r="G84" s="50"/>
    </row>
  </sheetData>
  <mergeCells count="7">
    <mergeCell ref="J40:J44"/>
    <mergeCell ref="J4:J8"/>
    <mergeCell ref="J10:J14"/>
    <mergeCell ref="J16:J20"/>
    <mergeCell ref="J22:J26"/>
    <mergeCell ref="J28:J32"/>
    <mergeCell ref="J34:J38"/>
  </mergeCells>
  <conditionalFormatting sqref="I1">
    <cfRule type="dataBar" priority="4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{3897CB73-1589-4C56-B2C1-34E313CFF202}</x14:id>
        </ext>
      </extLst>
    </cfRule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{F5D37B66-0ADE-487D-847D-E650A59D0574}</x14:id>
        </ext>
      </extLst>
    </cfRule>
  </conditionalFormatting>
  <conditionalFormatting sqref="I2">
    <cfRule type="dataBar" priority="8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{EEB19DF4-A302-4870-936A-C5DB8C2B8AF1}</x14:id>
        </ext>
      </extLst>
    </cfRule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{AB612164-FE19-43F2-B92D-06C0CA989068}</x14:id>
        </ext>
      </extLst>
    </cfRule>
  </conditionalFormatting>
  <conditionalFormatting sqref="I4:I8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{FD1D9857-DC51-40FB-A5CB-6DB22D102E08}</x14:id>
        </ext>
      </extLst>
    </cfRule>
  </conditionalFormatting>
  <conditionalFormatting sqref="I10:I14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{7006B911-3692-4733-B142-F8273863FEC0}</x14:id>
        </ext>
      </extLst>
    </cfRule>
  </conditionalFormatting>
  <conditionalFormatting sqref="I22:I26 I28:I32 I34:I38 I40:I44 I16:I20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{B44F8460-9A0C-443D-9A0E-BFDF6DB6B3C2}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97CB73-1589-4C56-B2C1-34E313CFF2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D37B66-0ADE-487D-847D-E650A59D05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EEB19DF4-A302-4870-936A-C5DB8C2B8A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612164-FE19-43F2-B92D-06C0CA9890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FD1D9857-DC51-40FB-A5CB-6DB22D102E0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I4:I8</xm:sqref>
        </x14:conditionalFormatting>
        <x14:conditionalFormatting xmlns:xm="http://schemas.microsoft.com/office/excel/2006/main">
          <x14:cfRule type="dataBar" id="{7006B911-3692-4733-B142-F8273863FE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I10:I14</xm:sqref>
        </x14:conditionalFormatting>
        <x14:conditionalFormatting xmlns:xm="http://schemas.microsoft.com/office/excel/2006/main">
          <x14:cfRule type="dataBar" id="{B44F8460-9A0C-443D-9A0E-BFDF6DB6B3C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I22:I26 I28:I32 I34:I38 I40:I44 I16:I20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B9B7-EB33-4BA7-A0B4-F5F0CEC97184}">
  <dimension ref="A1:H44"/>
  <sheetViews>
    <sheetView topLeftCell="A4" zoomScale="64" zoomScaleNormal="70" workbookViewId="0">
      <selection activeCell="F22" sqref="F22"/>
    </sheetView>
  </sheetViews>
  <sheetFormatPr defaultRowHeight="14.4"/>
  <cols>
    <col min="1" max="1" width="8.109375" bestFit="1" customWidth="1"/>
    <col min="2" max="2" width="34" customWidth="1"/>
    <col min="3" max="3" width="7.33203125" bestFit="1" customWidth="1"/>
    <col min="4" max="4" width="18.6640625" customWidth="1"/>
    <col min="5" max="5" width="28.5546875" customWidth="1"/>
    <col min="6" max="6" width="21" customWidth="1"/>
    <col min="7" max="7" width="22.5546875" style="93" customWidth="1"/>
    <col min="8" max="8" width="34.6640625" bestFit="1" customWidth="1"/>
  </cols>
  <sheetData>
    <row r="1" spans="1:8" ht="29.25" customHeight="1">
      <c r="A1" s="16" t="s">
        <v>0</v>
      </c>
      <c r="B1" s="17"/>
      <c r="C1" s="18"/>
      <c r="D1" s="19"/>
      <c r="E1" s="19"/>
      <c r="F1" s="19"/>
      <c r="G1" s="91" t="s">
        <v>1</v>
      </c>
      <c r="H1" s="20">
        <v>46188</v>
      </c>
    </row>
    <row r="2" spans="1:8" ht="33.75" customHeight="1">
      <c r="A2" s="78" t="s">
        <v>2</v>
      </c>
      <c r="B2" s="78" t="s">
        <v>68</v>
      </c>
      <c r="C2" s="78" t="s">
        <v>4</v>
      </c>
      <c r="D2" s="78" t="s">
        <v>5</v>
      </c>
      <c r="E2" s="78" t="s">
        <v>6</v>
      </c>
      <c r="F2" s="78" t="s">
        <v>7</v>
      </c>
      <c r="G2" s="92" t="s">
        <v>8</v>
      </c>
      <c r="H2" s="79" t="s">
        <v>9</v>
      </c>
    </row>
    <row r="3" spans="1:8" ht="15.6">
      <c r="A3" s="65" t="s">
        <v>10</v>
      </c>
      <c r="B3" s="65" t="s">
        <v>29</v>
      </c>
      <c r="C3" s="65"/>
      <c r="D3" s="65"/>
      <c r="E3" s="65"/>
      <c r="F3" s="65"/>
      <c r="G3" s="90"/>
      <c r="H3" s="65"/>
    </row>
    <row r="4" spans="1:8" ht="15.6">
      <c r="A4" s="66" t="s">
        <v>12</v>
      </c>
      <c r="B4" s="66" t="s">
        <v>57</v>
      </c>
      <c r="C4" s="59" t="s">
        <v>39</v>
      </c>
      <c r="D4" s="80">
        <v>65.794531687499997</v>
      </c>
      <c r="E4" s="59"/>
      <c r="F4" s="59">
        <f>D4-E4</f>
        <v>65.794531687499997</v>
      </c>
      <c r="G4" s="89">
        <f>E4/D4</f>
        <v>0</v>
      </c>
      <c r="H4" s="111"/>
    </row>
    <row r="5" spans="1:8" ht="15.6">
      <c r="A5" s="66" t="s">
        <v>15</v>
      </c>
      <c r="B5" s="66" t="s">
        <v>64</v>
      </c>
      <c r="C5" s="59" t="s">
        <v>39</v>
      </c>
      <c r="D5" s="58">
        <v>83.714169499999983</v>
      </c>
      <c r="E5" s="59"/>
      <c r="F5" s="59">
        <f>D5-E5</f>
        <v>83.714169499999983</v>
      </c>
      <c r="G5" s="89">
        <f>E5/D5</f>
        <v>0</v>
      </c>
      <c r="H5" s="112"/>
    </row>
    <row r="6" spans="1:8" ht="15.6">
      <c r="A6" s="66" t="s">
        <v>17</v>
      </c>
      <c r="B6" s="66" t="s">
        <v>60</v>
      </c>
      <c r="C6" s="60" t="s">
        <v>69</v>
      </c>
      <c r="D6" s="58">
        <v>403.61665000000005</v>
      </c>
      <c r="E6" s="59"/>
      <c r="F6" s="59">
        <f>D6-E6</f>
        <v>403.61665000000005</v>
      </c>
      <c r="G6" s="89">
        <f>E6/D6</f>
        <v>0</v>
      </c>
      <c r="H6" s="112"/>
    </row>
    <row r="7" spans="1:8" ht="15.6">
      <c r="A7" s="66" t="s">
        <v>19</v>
      </c>
      <c r="B7" s="66" t="s">
        <v>70</v>
      </c>
      <c r="C7" s="59" t="s">
        <v>14</v>
      </c>
      <c r="D7" s="58">
        <v>186</v>
      </c>
      <c r="E7" s="59"/>
      <c r="F7" s="59">
        <f>D7-E7</f>
        <v>186</v>
      </c>
      <c r="G7" s="89">
        <f>E7/D7</f>
        <v>0</v>
      </c>
      <c r="H7" s="112"/>
    </row>
    <row r="8" spans="1:8" ht="15.6">
      <c r="A8" s="66" t="s">
        <v>21</v>
      </c>
      <c r="B8" s="66" t="s">
        <v>71</v>
      </c>
      <c r="C8" s="59" t="s">
        <v>61</v>
      </c>
      <c r="D8" s="58">
        <v>2846</v>
      </c>
      <c r="E8" s="59"/>
      <c r="F8" s="59">
        <f>D8-E8</f>
        <v>2846</v>
      </c>
      <c r="G8" s="89">
        <f>E8/D8</f>
        <v>0</v>
      </c>
      <c r="H8" s="113"/>
    </row>
    <row r="9" spans="1:8" ht="15.6">
      <c r="A9" s="65" t="s">
        <v>27</v>
      </c>
      <c r="B9" s="65" t="s">
        <v>30</v>
      </c>
      <c r="C9" s="65"/>
      <c r="D9" s="65"/>
      <c r="E9" s="65"/>
      <c r="F9" s="65"/>
      <c r="G9" s="90"/>
      <c r="H9" s="65"/>
    </row>
    <row r="10" spans="1:8" ht="15.6">
      <c r="A10" s="66" t="s">
        <v>12</v>
      </c>
      <c r="B10" s="66" t="s">
        <v>57</v>
      </c>
      <c r="C10" s="59" t="s">
        <v>39</v>
      </c>
      <c r="D10" s="58">
        <v>106.69150799999998</v>
      </c>
      <c r="E10" s="59"/>
      <c r="F10" s="59">
        <f>D10-E10</f>
        <v>106.69150799999998</v>
      </c>
      <c r="G10" s="89">
        <f>E10/D10</f>
        <v>0</v>
      </c>
      <c r="H10" s="111"/>
    </row>
    <row r="11" spans="1:8" ht="15.6">
      <c r="A11" s="66" t="s">
        <v>15</v>
      </c>
      <c r="B11" s="66" t="s">
        <v>64</v>
      </c>
      <c r="C11" s="59" t="s">
        <v>39</v>
      </c>
      <c r="D11" s="58">
        <v>83.14553500000001</v>
      </c>
      <c r="E11" s="59"/>
      <c r="F11" s="59">
        <f>D11-E11</f>
        <v>83.14553500000001</v>
      </c>
      <c r="G11" s="89">
        <f>E11/D11</f>
        <v>0</v>
      </c>
      <c r="H11" s="112"/>
    </row>
    <row r="12" spans="1:8" ht="15.6">
      <c r="A12" s="66" t="s">
        <v>17</v>
      </c>
      <c r="B12" s="66" t="s">
        <v>60</v>
      </c>
      <c r="C12" s="60" t="s">
        <v>69</v>
      </c>
      <c r="D12" s="58">
        <v>655.11446000000001</v>
      </c>
      <c r="E12" s="59"/>
      <c r="F12" s="59">
        <f>D12-E12</f>
        <v>655.11446000000001</v>
      </c>
      <c r="G12" s="89">
        <f>E12/D12</f>
        <v>0</v>
      </c>
      <c r="H12" s="112"/>
    </row>
    <row r="13" spans="1:8" ht="15.6">
      <c r="A13" s="66" t="s">
        <v>19</v>
      </c>
      <c r="B13" s="66" t="s">
        <v>70</v>
      </c>
      <c r="C13" s="59" t="s">
        <v>14</v>
      </c>
      <c r="D13" s="59">
        <v>187</v>
      </c>
      <c r="E13" s="59"/>
      <c r="F13" s="59">
        <f>D13-E13</f>
        <v>187</v>
      </c>
      <c r="G13" s="89">
        <f>E13/D13</f>
        <v>0</v>
      </c>
      <c r="H13" s="112"/>
    </row>
    <row r="14" spans="1:8" ht="15.6">
      <c r="A14" s="66" t="s">
        <v>21</v>
      </c>
      <c r="B14" s="66" t="s">
        <v>71</v>
      </c>
      <c r="C14" s="59" t="s">
        <v>61</v>
      </c>
      <c r="D14" s="59">
        <v>3038</v>
      </c>
      <c r="E14" s="59"/>
      <c r="F14" s="59">
        <f>D14-E14</f>
        <v>3038</v>
      </c>
      <c r="G14" s="89">
        <f>E14/D14</f>
        <v>0</v>
      </c>
      <c r="H14" s="113"/>
    </row>
    <row r="15" spans="1:8" ht="15.6">
      <c r="A15" s="65" t="s">
        <v>36</v>
      </c>
      <c r="B15" s="65" t="s">
        <v>31</v>
      </c>
      <c r="C15" s="65"/>
      <c r="D15" s="65"/>
      <c r="E15" s="65"/>
      <c r="F15" s="65"/>
      <c r="G15" s="90"/>
      <c r="H15" s="65"/>
    </row>
    <row r="16" spans="1:8" ht="15.6">
      <c r="A16" s="66" t="s">
        <v>12</v>
      </c>
      <c r="B16" s="66" t="s">
        <v>57</v>
      </c>
      <c r="C16" s="59" t="s">
        <v>39</v>
      </c>
      <c r="D16" s="58">
        <v>286.89478125000005</v>
      </c>
      <c r="E16" s="59"/>
      <c r="F16" s="59">
        <f t="shared" ref="F16:F26" si="0">D16-E16</f>
        <v>286.89478125000005</v>
      </c>
      <c r="G16" s="89">
        <f>E16/D16</f>
        <v>0</v>
      </c>
      <c r="H16" s="111"/>
    </row>
    <row r="17" spans="1:8" ht="15.6">
      <c r="A17" s="66" t="s">
        <v>15</v>
      </c>
      <c r="B17" s="66" t="s">
        <v>64</v>
      </c>
      <c r="C17" s="59" t="s">
        <v>39</v>
      </c>
      <c r="D17" s="58">
        <v>287.19565359374997</v>
      </c>
      <c r="E17" s="59"/>
      <c r="F17" s="59">
        <f t="shared" si="0"/>
        <v>287.19565359374997</v>
      </c>
      <c r="G17" s="89">
        <f>E17/D17</f>
        <v>0</v>
      </c>
      <c r="H17" s="112"/>
    </row>
    <row r="18" spans="1:8" ht="15.6">
      <c r="A18" s="66" t="s">
        <v>17</v>
      </c>
      <c r="B18" s="66" t="s">
        <v>60</v>
      </c>
      <c r="C18" s="60" t="s">
        <v>69</v>
      </c>
      <c r="D18" s="59">
        <v>2893.37</v>
      </c>
      <c r="E18" s="59"/>
      <c r="F18" s="59">
        <f t="shared" si="0"/>
        <v>2893.37</v>
      </c>
      <c r="G18" s="89">
        <f>E18/D18</f>
        <v>0</v>
      </c>
      <c r="H18" s="112"/>
    </row>
    <row r="19" spans="1:8" ht="15.6">
      <c r="A19" s="66" t="s">
        <v>19</v>
      </c>
      <c r="B19" s="66" t="s">
        <v>70</v>
      </c>
      <c r="C19" s="59" t="s">
        <v>14</v>
      </c>
      <c r="D19" s="59">
        <v>301</v>
      </c>
      <c r="E19" s="59"/>
      <c r="F19" s="59">
        <f t="shared" si="0"/>
        <v>301</v>
      </c>
      <c r="G19" s="89">
        <f>E19/D19</f>
        <v>0</v>
      </c>
      <c r="H19" s="112"/>
    </row>
    <row r="20" spans="1:8" ht="15.6">
      <c r="A20" s="66" t="s">
        <v>21</v>
      </c>
      <c r="B20" s="66" t="s">
        <v>71</v>
      </c>
      <c r="C20" s="59" t="s">
        <v>61</v>
      </c>
      <c r="D20" s="59">
        <v>7815</v>
      </c>
      <c r="E20" s="59"/>
      <c r="F20" s="59">
        <f t="shared" si="0"/>
        <v>7815</v>
      </c>
      <c r="G20" s="89">
        <f>E20/D20</f>
        <v>0</v>
      </c>
      <c r="H20" s="113"/>
    </row>
    <row r="21" spans="1:8" ht="15.6">
      <c r="A21" s="65" t="s">
        <v>47</v>
      </c>
      <c r="B21" s="65" t="s">
        <v>72</v>
      </c>
      <c r="C21" s="65"/>
      <c r="D21" s="65"/>
      <c r="E21" s="65"/>
      <c r="F21" s="65"/>
      <c r="G21" s="90"/>
      <c r="H21" s="65"/>
    </row>
    <row r="22" spans="1:8" ht="15.6">
      <c r="A22" s="66" t="s">
        <v>12</v>
      </c>
      <c r="B22" s="66" t="s">
        <v>57</v>
      </c>
      <c r="C22" s="59" t="s">
        <v>39</v>
      </c>
      <c r="D22" s="58">
        <v>229.51582500000004</v>
      </c>
      <c r="E22" s="59"/>
      <c r="F22" s="59">
        <f t="shared" si="0"/>
        <v>229.51582500000004</v>
      </c>
      <c r="G22" s="89">
        <f>E22/D22</f>
        <v>0</v>
      </c>
      <c r="H22" s="111"/>
    </row>
    <row r="23" spans="1:8" ht="15.6">
      <c r="A23" s="66" t="s">
        <v>15</v>
      </c>
      <c r="B23" s="66" t="s">
        <v>64</v>
      </c>
      <c r="C23" s="59" t="s">
        <v>39</v>
      </c>
      <c r="D23" s="58">
        <v>229.76</v>
      </c>
      <c r="E23" s="59"/>
      <c r="F23" s="59">
        <f t="shared" si="0"/>
        <v>229.76</v>
      </c>
      <c r="G23" s="89">
        <f>E23/D23</f>
        <v>0</v>
      </c>
      <c r="H23" s="112"/>
    </row>
    <row r="24" spans="1:8" ht="15.6">
      <c r="A24" s="66" t="s">
        <v>17</v>
      </c>
      <c r="B24" s="66" t="s">
        <v>60</v>
      </c>
      <c r="C24" s="60" t="s">
        <v>69</v>
      </c>
      <c r="D24" s="58">
        <v>2314</v>
      </c>
      <c r="E24" s="59"/>
      <c r="F24" s="59">
        <f t="shared" si="0"/>
        <v>2314</v>
      </c>
      <c r="G24" s="89">
        <f>E24/D24</f>
        <v>0</v>
      </c>
      <c r="H24" s="112"/>
    </row>
    <row r="25" spans="1:8" ht="15.6">
      <c r="A25" s="66" t="s">
        <v>19</v>
      </c>
      <c r="B25" s="66" t="s">
        <v>70</v>
      </c>
      <c r="C25" s="59" t="s">
        <v>14</v>
      </c>
      <c r="D25" s="59">
        <v>241</v>
      </c>
      <c r="E25" s="59"/>
      <c r="F25" s="59">
        <f t="shared" si="0"/>
        <v>241</v>
      </c>
      <c r="G25" s="89">
        <f>E25/D25</f>
        <v>0</v>
      </c>
      <c r="H25" s="112"/>
    </row>
    <row r="26" spans="1:8" ht="15.6">
      <c r="A26" s="66" t="s">
        <v>21</v>
      </c>
      <c r="B26" s="66" t="s">
        <v>71</v>
      </c>
      <c r="C26" s="59" t="s">
        <v>61</v>
      </c>
      <c r="D26" s="59">
        <v>6252</v>
      </c>
      <c r="E26" s="59"/>
      <c r="F26" s="59">
        <f t="shared" si="0"/>
        <v>6252</v>
      </c>
      <c r="G26" s="89">
        <f>E26/D26</f>
        <v>0</v>
      </c>
      <c r="H26" s="113"/>
    </row>
    <row r="27" spans="1:8" ht="31.2">
      <c r="A27" s="65" t="s">
        <v>52</v>
      </c>
      <c r="B27" s="65" t="s">
        <v>73</v>
      </c>
      <c r="C27" s="65"/>
      <c r="D27" s="65"/>
      <c r="E27" s="65"/>
      <c r="F27" s="65"/>
      <c r="G27" s="90"/>
      <c r="H27" s="65"/>
    </row>
    <row r="28" spans="1:8" ht="15.6">
      <c r="A28" s="66" t="s">
        <v>12</v>
      </c>
      <c r="B28" s="66" t="s">
        <v>57</v>
      </c>
      <c r="C28" s="59" t="s">
        <v>39</v>
      </c>
      <c r="D28" s="58">
        <v>231.11707500000003</v>
      </c>
      <c r="E28" s="59"/>
      <c r="F28" s="59">
        <f>D28-E28</f>
        <v>231.11707500000003</v>
      </c>
      <c r="G28" s="89">
        <f>E28/D28</f>
        <v>0</v>
      </c>
      <c r="H28" s="114"/>
    </row>
    <row r="29" spans="1:8" ht="15.6">
      <c r="A29" s="66" t="s">
        <v>15</v>
      </c>
      <c r="B29" s="66" t="s">
        <v>64</v>
      </c>
      <c r="C29" s="59" t="s">
        <v>39</v>
      </c>
      <c r="D29" s="58">
        <v>158.04330937500001</v>
      </c>
      <c r="E29" s="59"/>
      <c r="F29" s="59">
        <f>D29-E29</f>
        <v>158.04330937500001</v>
      </c>
      <c r="G29" s="89">
        <f>E29/D29</f>
        <v>0</v>
      </c>
      <c r="H29" s="115"/>
    </row>
    <row r="30" spans="1:8" ht="15.6">
      <c r="A30" s="66" t="s">
        <v>17</v>
      </c>
      <c r="B30" s="66" t="s">
        <v>60</v>
      </c>
      <c r="C30" s="60" t="s">
        <v>69</v>
      </c>
      <c r="D30" s="59">
        <v>1645</v>
      </c>
      <c r="E30" s="59"/>
      <c r="F30" s="59">
        <f>D30-E30</f>
        <v>1645</v>
      </c>
      <c r="G30" s="89">
        <f>E30/D30</f>
        <v>0</v>
      </c>
      <c r="H30" s="115"/>
    </row>
    <row r="31" spans="1:8" ht="15.6">
      <c r="A31" s="66" t="s">
        <v>19</v>
      </c>
      <c r="B31" s="66" t="s">
        <v>70</v>
      </c>
      <c r="C31" s="59" t="s">
        <v>14</v>
      </c>
      <c r="D31" s="59">
        <v>119</v>
      </c>
      <c r="E31" s="59"/>
      <c r="F31" s="59">
        <f>D31-E31</f>
        <v>119</v>
      </c>
      <c r="G31" s="89">
        <f>E31/D31</f>
        <v>0</v>
      </c>
      <c r="H31" s="115"/>
    </row>
    <row r="32" spans="1:8" ht="19.5" customHeight="1">
      <c r="A32" s="66" t="s">
        <v>21</v>
      </c>
      <c r="B32" s="66" t="s">
        <v>71</v>
      </c>
      <c r="C32" s="59" t="s">
        <v>61</v>
      </c>
      <c r="D32" s="59">
        <v>4226</v>
      </c>
      <c r="E32" s="59"/>
      <c r="F32" s="59">
        <f>D32-E32</f>
        <v>4226</v>
      </c>
      <c r="G32" s="89">
        <f>E32/D32</f>
        <v>0</v>
      </c>
      <c r="H32" s="116"/>
    </row>
    <row r="33" spans="1:8" ht="15.6">
      <c r="A33" s="65" t="s">
        <v>53</v>
      </c>
      <c r="B33" s="65" t="s">
        <v>34</v>
      </c>
      <c r="C33" s="65"/>
      <c r="D33" s="65"/>
      <c r="E33" s="65"/>
      <c r="F33" s="65"/>
      <c r="G33" s="90"/>
      <c r="H33" s="65"/>
    </row>
    <row r="34" spans="1:8" ht="13.5" customHeight="1">
      <c r="A34" s="66" t="s">
        <v>12</v>
      </c>
      <c r="B34" s="66" t="s">
        <v>57</v>
      </c>
      <c r="C34" s="59" t="s">
        <v>39</v>
      </c>
      <c r="D34" s="58">
        <v>24.793114500000001</v>
      </c>
      <c r="E34" s="77"/>
      <c r="F34" s="59">
        <f>D34-E34</f>
        <v>24.793114500000001</v>
      </c>
      <c r="G34" s="89">
        <f>E34/D34</f>
        <v>0</v>
      </c>
      <c r="H34" s="114"/>
    </row>
    <row r="35" spans="1:8" ht="13.5" customHeight="1">
      <c r="A35" s="66" t="s">
        <v>15</v>
      </c>
      <c r="B35" s="66" t="s">
        <v>64</v>
      </c>
      <c r="C35" s="59" t="s">
        <v>39</v>
      </c>
      <c r="D35" s="58">
        <v>18.946189500000003</v>
      </c>
      <c r="E35" s="59"/>
      <c r="F35" s="59">
        <f>D35-E35</f>
        <v>18.946189500000003</v>
      </c>
      <c r="G35" s="89">
        <f>E35/D35</f>
        <v>0</v>
      </c>
      <c r="H35" s="115"/>
    </row>
    <row r="36" spans="1:8" ht="13.5" customHeight="1">
      <c r="A36" s="66" t="s">
        <v>17</v>
      </c>
      <c r="B36" s="66" t="s">
        <v>60</v>
      </c>
      <c r="C36" s="60" t="s">
        <v>69</v>
      </c>
      <c r="D36" s="59">
        <v>148</v>
      </c>
      <c r="E36" s="59"/>
      <c r="F36" s="59">
        <f>D36-E36</f>
        <v>148</v>
      </c>
      <c r="G36" s="89">
        <f>E36/D36</f>
        <v>0</v>
      </c>
      <c r="H36" s="115"/>
    </row>
    <row r="37" spans="1:8" ht="13.5" customHeight="1">
      <c r="A37" s="66" t="s">
        <v>19</v>
      </c>
      <c r="B37" s="66" t="s">
        <v>70</v>
      </c>
      <c r="C37" s="59" t="s">
        <v>14</v>
      </c>
      <c r="D37" s="59">
        <v>43</v>
      </c>
      <c r="E37" s="59"/>
      <c r="F37" s="59">
        <f>D37-E37</f>
        <v>43</v>
      </c>
      <c r="G37" s="89">
        <f>E37/D37</f>
        <v>0</v>
      </c>
      <c r="H37" s="115"/>
    </row>
    <row r="38" spans="1:8" ht="13.5" customHeight="1">
      <c r="A38" s="66" t="s">
        <v>21</v>
      </c>
      <c r="B38" s="66" t="s">
        <v>71</v>
      </c>
      <c r="C38" s="59" t="s">
        <v>61</v>
      </c>
      <c r="D38" s="59">
        <v>688</v>
      </c>
      <c r="E38" s="59"/>
      <c r="F38" s="59">
        <f>D38-E38</f>
        <v>688</v>
      </c>
      <c r="G38" s="89">
        <f>E38/D38</f>
        <v>0</v>
      </c>
      <c r="H38" s="116"/>
    </row>
    <row r="39" spans="1:8" ht="15.6">
      <c r="A39" s="65" t="s">
        <v>54</v>
      </c>
      <c r="B39" s="65" t="s">
        <v>35</v>
      </c>
      <c r="C39" s="65"/>
      <c r="D39" s="65"/>
      <c r="E39" s="65"/>
      <c r="F39" s="65"/>
      <c r="G39" s="90"/>
      <c r="H39" s="65"/>
    </row>
    <row r="40" spans="1:8" ht="15.6">
      <c r="A40" s="66" t="s">
        <v>12</v>
      </c>
      <c r="B40" s="66" t="s">
        <v>57</v>
      </c>
      <c r="C40" s="59" t="s">
        <v>39</v>
      </c>
      <c r="D40" s="58">
        <v>57.142800000000008</v>
      </c>
      <c r="E40" s="59"/>
      <c r="F40" s="59">
        <f>D40-E40</f>
        <v>57.142800000000008</v>
      </c>
      <c r="G40" s="89">
        <f>E40/D40</f>
        <v>0</v>
      </c>
      <c r="H40" s="114"/>
    </row>
    <row r="41" spans="1:8" ht="15.6">
      <c r="A41" s="66" t="s">
        <v>15</v>
      </c>
      <c r="B41" s="66" t="s">
        <v>64</v>
      </c>
      <c r="C41" s="59" t="s">
        <v>39</v>
      </c>
      <c r="D41" s="58">
        <v>82.375576250000009</v>
      </c>
      <c r="E41" s="59"/>
      <c r="F41" s="59">
        <f>D41-E41</f>
        <v>82.375576250000009</v>
      </c>
      <c r="G41" s="89">
        <f>E41/D41</f>
        <v>0</v>
      </c>
      <c r="H41" s="115"/>
    </row>
    <row r="42" spans="1:8" ht="15.6">
      <c r="A42" s="66" t="s">
        <v>17</v>
      </c>
      <c r="B42" s="66" t="s">
        <v>60</v>
      </c>
      <c r="C42" s="60" t="s">
        <v>69</v>
      </c>
      <c r="D42" s="58">
        <v>559</v>
      </c>
      <c r="E42" s="59"/>
      <c r="F42" s="59">
        <f>D42-E42</f>
        <v>559</v>
      </c>
      <c r="G42" s="89">
        <f>E42/D42</f>
        <v>0</v>
      </c>
      <c r="H42" s="115"/>
    </row>
    <row r="43" spans="1:8" ht="15.6">
      <c r="A43" s="66" t="s">
        <v>19</v>
      </c>
      <c r="B43" s="66" t="s">
        <v>70</v>
      </c>
      <c r="C43" s="59" t="s">
        <v>14</v>
      </c>
      <c r="D43" s="59">
        <v>148</v>
      </c>
      <c r="E43" s="59"/>
      <c r="F43" s="59">
        <f>D43-E43</f>
        <v>148</v>
      </c>
      <c r="G43" s="89">
        <f>E43/D43</f>
        <v>0</v>
      </c>
      <c r="H43" s="115"/>
    </row>
    <row r="44" spans="1:8" ht="15.6">
      <c r="A44" s="66" t="s">
        <v>21</v>
      </c>
      <c r="B44" s="66" t="s">
        <v>71</v>
      </c>
      <c r="C44" s="59" t="s">
        <v>61</v>
      </c>
      <c r="D44" s="59">
        <v>2312</v>
      </c>
      <c r="E44" s="59"/>
      <c r="F44" s="59">
        <f>D44-E44</f>
        <v>2312</v>
      </c>
      <c r="G44" s="89">
        <f>E44/D44</f>
        <v>0</v>
      </c>
      <c r="H44" s="116"/>
    </row>
  </sheetData>
  <mergeCells count="7">
    <mergeCell ref="H4:H8"/>
    <mergeCell ref="H40:H44"/>
    <mergeCell ref="H10:H14"/>
    <mergeCell ref="H16:H20"/>
    <mergeCell ref="H22:H26"/>
    <mergeCell ref="H28:H32"/>
    <mergeCell ref="H34:H38"/>
  </mergeCells>
  <phoneticPr fontId="11" type="noConversion"/>
  <conditionalFormatting sqref="G1">
    <cfRule type="dataBar" priority="4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{D3FCA23C-49D2-44D8-90EC-40978359CCD7}</x14:id>
        </ext>
      </extLst>
    </cfRule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{CC300656-51C0-4F14-B966-5848C74D47CC}</x14:id>
        </ext>
      </extLst>
    </cfRule>
  </conditionalFormatting>
  <conditionalFormatting sqref="G2">
    <cfRule type="dataBar" priority="6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{FB4FBE24-8CAE-4ECC-92C5-30BA8331B1CA}</x14:id>
        </ext>
      </extLst>
    </cfRule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{456D2043-8227-49BE-B713-FD0A6C3FC615}</x14:id>
        </ext>
      </extLst>
    </cfRule>
  </conditionalFormatting>
  <conditionalFormatting sqref="G4:G8 G10:G14 G16:G20 G22:G26 G28:G32 G34:G38 G40:G44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{17B96E1B-FFC1-47D9-91BA-ECD52C3D8618}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FCA23C-49D2-44D8-90EC-40978359CC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300656-51C0-4F14-B966-5848C74D47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FB4FBE24-8CAE-4ECC-92C5-30BA8331B1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6D2043-8227-49BE-B713-FD0A6C3FC6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17B96E1B-FFC1-47D9-91BA-ECD52C3D86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G4:G8 G10:G14 G16:G20 G22:G26 G28:G32 G34:G38 G40:G44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11A0-6340-4C69-9639-AA38A7BA50E4}">
  <dimension ref="A1:H8"/>
  <sheetViews>
    <sheetView zoomScale="75" zoomScaleNormal="55" workbookViewId="0">
      <selection activeCell="G12" sqref="G12"/>
    </sheetView>
  </sheetViews>
  <sheetFormatPr defaultRowHeight="14.4"/>
  <cols>
    <col min="1" max="1" width="22.33203125" bestFit="1" customWidth="1"/>
    <col min="2" max="2" width="29.44140625" customWidth="1"/>
    <col min="3" max="3" width="14" customWidth="1"/>
    <col min="4" max="4" width="15.33203125" style="21" customWidth="1"/>
    <col min="5" max="5" width="19" customWidth="1"/>
    <col min="6" max="6" width="21.33203125" customWidth="1"/>
    <col min="7" max="7" width="34.33203125" customWidth="1"/>
    <col min="8" max="8" width="43.109375" customWidth="1"/>
    <col min="9" max="9" width="10.88671875" bestFit="1" customWidth="1"/>
  </cols>
  <sheetData>
    <row r="1" spans="1:8">
      <c r="A1" s="52" t="s">
        <v>0</v>
      </c>
      <c r="B1" s="53"/>
      <c r="C1" s="54"/>
      <c r="D1" s="55"/>
      <c r="E1" s="55"/>
      <c r="F1" s="55"/>
      <c r="G1" s="56" t="s">
        <v>1</v>
      </c>
      <c r="H1" s="23">
        <v>46188</v>
      </c>
    </row>
    <row r="2" spans="1:8" ht="46.8">
      <c r="A2" s="81" t="s">
        <v>2</v>
      </c>
      <c r="B2" s="78" t="s">
        <v>68</v>
      </c>
      <c r="C2" s="78" t="s">
        <v>4</v>
      </c>
      <c r="D2" s="78" t="s">
        <v>5</v>
      </c>
      <c r="E2" s="78" t="s">
        <v>74</v>
      </c>
      <c r="F2" s="78" t="s">
        <v>7</v>
      </c>
      <c r="G2" s="79" t="s">
        <v>8</v>
      </c>
      <c r="H2" s="85" t="s">
        <v>9</v>
      </c>
    </row>
    <row r="3" spans="1:8" ht="15.6">
      <c r="A3" s="82" t="s">
        <v>10</v>
      </c>
      <c r="B3" s="65" t="s">
        <v>75</v>
      </c>
      <c r="C3" s="65"/>
      <c r="D3" s="65"/>
      <c r="E3" s="65"/>
      <c r="F3" s="65"/>
      <c r="G3" s="65"/>
      <c r="H3" s="86"/>
    </row>
    <row r="4" spans="1:8" ht="15.6">
      <c r="A4" s="83" t="s">
        <v>12</v>
      </c>
      <c r="B4" s="59" t="s">
        <v>38</v>
      </c>
      <c r="C4" s="59" t="s">
        <v>39</v>
      </c>
      <c r="D4" s="59">
        <v>49980</v>
      </c>
      <c r="E4" s="59"/>
      <c r="F4" s="59">
        <f>D4-E4</f>
        <v>49980</v>
      </c>
      <c r="G4" s="89">
        <f>E4/D4</f>
        <v>0</v>
      </c>
      <c r="H4" s="117"/>
    </row>
    <row r="5" spans="1:8" ht="15.6">
      <c r="A5" s="83" t="s">
        <v>15</v>
      </c>
      <c r="B5" s="59" t="s">
        <v>40</v>
      </c>
      <c r="C5" s="59" t="s">
        <v>39</v>
      </c>
      <c r="D5" s="59">
        <v>23034</v>
      </c>
      <c r="E5" s="59"/>
      <c r="F5" s="59">
        <f t="shared" ref="F5:F8" si="0">D5-E5</f>
        <v>23034</v>
      </c>
      <c r="G5" s="89">
        <f>E5/D5</f>
        <v>0</v>
      </c>
      <c r="H5" s="118"/>
    </row>
    <row r="6" spans="1:8" ht="15.6">
      <c r="A6" s="83" t="s">
        <v>17</v>
      </c>
      <c r="B6" s="59" t="s">
        <v>41</v>
      </c>
      <c r="C6" s="60" t="s">
        <v>42</v>
      </c>
      <c r="D6" s="59">
        <v>17060</v>
      </c>
      <c r="E6" s="59"/>
      <c r="F6" s="59">
        <f t="shared" si="0"/>
        <v>17060</v>
      </c>
      <c r="G6" s="89">
        <f>E6/D6</f>
        <v>0</v>
      </c>
      <c r="H6" s="118"/>
    </row>
    <row r="7" spans="1:8" ht="15.6">
      <c r="A7" s="83" t="s">
        <v>19</v>
      </c>
      <c r="B7" s="59" t="s">
        <v>43</v>
      </c>
      <c r="C7" s="59" t="s">
        <v>44</v>
      </c>
      <c r="D7" s="59">
        <f>10270</f>
        <v>10270</v>
      </c>
      <c r="F7" s="59">
        <f t="shared" si="0"/>
        <v>10270</v>
      </c>
      <c r="G7" s="89">
        <f>E6/D7</f>
        <v>0</v>
      </c>
      <c r="H7" s="118"/>
    </row>
    <row r="8" spans="1:8" ht="16.2" thickBot="1">
      <c r="A8" s="84" t="s">
        <v>21</v>
      </c>
      <c r="B8" s="61" t="s">
        <v>45</v>
      </c>
      <c r="C8" s="61" t="s">
        <v>46</v>
      </c>
      <c r="D8" s="61">
        <v>52</v>
      </c>
      <c r="E8" s="61"/>
      <c r="F8" s="59">
        <f t="shared" si="0"/>
        <v>52</v>
      </c>
      <c r="G8" s="89">
        <f>E8/D8</f>
        <v>0</v>
      </c>
      <c r="H8" s="119"/>
    </row>
  </sheetData>
  <mergeCells count="1">
    <mergeCell ref="H4:H8"/>
  </mergeCells>
  <conditionalFormatting sqref="G1">
    <cfRule type="dataBar" priority="2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{30CF315A-A6C7-4EBA-963D-6B3BD65D93F2}</x14:id>
        </ext>
      </extLst>
    </cfRule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{2E6EF891-DEED-4B90-ACAE-61E985882E94}</x14:id>
        </ext>
      </extLst>
    </cfRule>
  </conditionalFormatting>
  <conditionalFormatting sqref="G2">
    <cfRule type="dataBar" priority="4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{53653D03-F5AE-49BA-8F43-4A1F420804BF}</x14:id>
        </ext>
      </extLst>
    </cfRule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{68855AA2-52A0-4934-AC17-E67D2D4DCF94}</x14:id>
        </ext>
      </extLst>
    </cfRule>
  </conditionalFormatting>
  <conditionalFormatting sqref="G4:G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{16CFAA0A-ADFC-424F-82FB-77D3E57FC52E}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CF315A-A6C7-4EBA-963D-6B3BD65D93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6EF891-DEED-4B90-ACAE-61E985882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53653D03-F5AE-49BA-8F43-4A1F420804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855AA2-52A0-4934-AC17-E67D2D4DCF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16CFAA0A-ADFC-424F-82FB-77D3E57FC52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4DCB-B9B0-47E5-9276-8F9D90BFDE0B}">
  <dimension ref="A1:H6"/>
  <sheetViews>
    <sheetView zoomScale="77" workbookViewId="0">
      <selection activeCell="E6" sqref="E6"/>
    </sheetView>
  </sheetViews>
  <sheetFormatPr defaultRowHeight="14.4"/>
  <cols>
    <col min="1" max="1" width="27.6640625" bestFit="1" customWidth="1"/>
    <col min="2" max="2" width="28" customWidth="1"/>
    <col min="3" max="3" width="7.6640625" bestFit="1" customWidth="1"/>
    <col min="4" max="4" width="18.44140625" bestFit="1" customWidth="1"/>
    <col min="5" max="5" width="17.44140625" bestFit="1" customWidth="1"/>
    <col min="6" max="6" width="17.88671875" bestFit="1" customWidth="1"/>
    <col min="7" max="7" width="14.88671875" bestFit="1" customWidth="1"/>
    <col min="8" max="8" width="26" customWidth="1"/>
  </cols>
  <sheetData>
    <row r="1" spans="1:8">
      <c r="A1" s="22" t="s">
        <v>0</v>
      </c>
      <c r="B1" s="27"/>
      <c r="C1" s="27"/>
      <c r="D1" s="28"/>
      <c r="E1" s="29"/>
      <c r="F1" s="29"/>
      <c r="G1" s="30" t="s">
        <v>1</v>
      </c>
      <c r="H1" s="23">
        <v>46188</v>
      </c>
    </row>
    <row r="2" spans="1:8" ht="26.4">
      <c r="A2" s="31" t="s">
        <v>2</v>
      </c>
      <c r="B2" s="32" t="s">
        <v>68</v>
      </c>
      <c r="C2" s="32" t="s">
        <v>4</v>
      </c>
      <c r="D2" s="33" t="s">
        <v>5</v>
      </c>
      <c r="E2" s="34" t="s">
        <v>74</v>
      </c>
      <c r="F2" s="34" t="s">
        <v>7</v>
      </c>
      <c r="G2" s="35" t="s">
        <v>8</v>
      </c>
      <c r="H2" s="36" t="s">
        <v>9</v>
      </c>
    </row>
    <row r="3" spans="1:8" ht="15.6">
      <c r="A3" s="37" t="s">
        <v>10</v>
      </c>
      <c r="B3" s="4" t="s">
        <v>48</v>
      </c>
      <c r="C3" s="4"/>
      <c r="D3" s="43"/>
      <c r="E3" s="42"/>
      <c r="F3" s="42"/>
      <c r="G3" s="42"/>
      <c r="H3" s="38"/>
    </row>
    <row r="4" spans="1:8" ht="15.6">
      <c r="A4" s="24" t="s">
        <v>12</v>
      </c>
      <c r="B4" s="41" t="s">
        <v>49</v>
      </c>
      <c r="C4" s="44" t="s">
        <v>39</v>
      </c>
      <c r="D4" s="49">
        <v>245000</v>
      </c>
      <c r="E4" s="49">
        <v>190000</v>
      </c>
      <c r="F4" s="50">
        <f>D4-E4</f>
        <v>55000</v>
      </c>
      <c r="G4" s="45">
        <f>E4/D4</f>
        <v>0.77551020408163263</v>
      </c>
      <c r="H4" s="120"/>
    </row>
    <row r="5" spans="1:8" ht="15.6">
      <c r="A5" s="24" t="s">
        <v>15</v>
      </c>
      <c r="B5" s="41" t="s">
        <v>76</v>
      </c>
      <c r="C5" s="44" t="s">
        <v>39</v>
      </c>
      <c r="D5" s="50">
        <v>905000</v>
      </c>
      <c r="E5" s="50">
        <v>0</v>
      </c>
      <c r="F5" s="50">
        <f>D5-E5</f>
        <v>905000</v>
      </c>
      <c r="G5" s="45">
        <f>E5/D5</f>
        <v>0</v>
      </c>
      <c r="H5" s="121"/>
    </row>
    <row r="6" spans="1:8" ht="16.2" thickBot="1">
      <c r="A6" s="25" t="s">
        <v>17</v>
      </c>
      <c r="B6" s="46" t="s">
        <v>51</v>
      </c>
      <c r="C6" s="47" t="s">
        <v>39</v>
      </c>
      <c r="D6" s="51">
        <v>1150000</v>
      </c>
      <c r="E6" s="51">
        <v>190000</v>
      </c>
      <c r="F6" s="51">
        <f>D6-E6</f>
        <v>960000</v>
      </c>
      <c r="G6" s="48">
        <f>E6/D6</f>
        <v>0.16521739130434782</v>
      </c>
      <c r="H6" s="122"/>
    </row>
  </sheetData>
  <mergeCells count="1">
    <mergeCell ref="H4:H6"/>
  </mergeCells>
  <conditionalFormatting sqref="G1">
    <cfRule type="dataBar" priority="2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{520B6217-178D-46A7-896C-B0637E09A006}</x14:id>
        </ext>
      </extLst>
    </cfRule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{C8479ED1-0CD5-42CB-BE45-B0387500AA07}</x14:id>
        </ext>
      </extLst>
    </cfRule>
  </conditionalFormatting>
  <conditionalFormatting sqref="G2">
    <cfRule type="dataBar" priority="4">
      <dataBar>
        <cfvo type="num" val="0"/>
        <cfvo type="num" val="1"/>
        <color rgb="FF7BF600"/>
      </dataBar>
      <extLst>
        <ext xmlns:x14="http://schemas.microsoft.com/office/spreadsheetml/2009/9/main" uri="{B025F937-C7B1-47D3-B67F-A62EFF666E3E}">
          <x14:id>{1050C97E-F939-4466-BD5B-E99CA4413DB4}</x14:id>
        </ext>
      </extLst>
    </cfRule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{695009E1-10C0-47AE-8A86-E6B9C5F232E6}</x14:id>
        </ext>
      </extLst>
    </cfRule>
  </conditionalFormatting>
  <conditionalFormatting sqref="G4:G6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{B6A9AC7C-A724-4A30-85DC-BCD3018514CA}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0B6217-178D-46A7-896C-B0637E09A0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479ED1-0CD5-42CB-BE45-B0387500AA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1050C97E-F939-4466-BD5B-E99CA4413D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5009E1-10C0-47AE-8A86-E6B9C5F232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B6A9AC7C-A724-4A30-85DC-BCD3018514C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Visual_Dashbord</vt:lpstr>
      <vt:lpstr>CV1_ROB</vt:lpstr>
      <vt:lpstr>CV2_Infra</vt:lpstr>
      <vt:lpstr>CV3_Pway</vt:lpstr>
      <vt:lpstr>Earthwork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Prakash Gupta</dc:creator>
  <cp:keywords/>
  <dc:description/>
  <cp:lastModifiedBy>Prakash Gupta</cp:lastModifiedBy>
  <cp:revision/>
  <dcterms:created xsi:type="dcterms:W3CDTF">2026-06-17T12:11:43Z</dcterms:created>
  <dcterms:modified xsi:type="dcterms:W3CDTF">2026-09-24T08:11:58Z</dcterms:modified>
  <cp:category/>
  <cp:contentStatus/>
</cp:coreProperties>
</file>